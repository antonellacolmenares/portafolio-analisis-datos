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os" sheetId="2" state="visible" r:id="rId4"/>
    <sheet name="Notas" sheetId="3" state="visible" r:id="rId5"/>
  </sheets>
  <definedNames>
    <definedName function="false" hidden="true" localSheetId="1" name="_xlnm._FilterDatabase" vbProcedure="false">Datos!$A$1:$H$2401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<sst xmlns="http://schemas.openxmlformats.org/spreadsheetml/2006/main" count="7286" uniqueCount="75">
  <si>
    <t xml:space="preserve">  Andina Snacks · Dashboard de ventas 2025</t>
  </si>
  <si>
    <t xml:space="preserve">Empresa ficticia con datos simulados, creados para portafolio. Cifras en pesos colombianos (COP).</t>
  </si>
  <si>
    <t xml:space="preserve">Filtrar por región:</t>
  </si>
  <si>
    <t xml:space="preserve">Todas</t>
  </si>
  <si>
    <t xml:space="preserve">← elige una región en la lista</t>
  </si>
  <si>
    <t xml:space="preserve">VENTAS 2025</t>
  </si>
  <si>
    <t xml:space="preserve">CRECIMIENTO VS 2024</t>
  </si>
  <si>
    <t xml:space="preserve">UNIDADES 2025</t>
  </si>
  <si>
    <t xml:space="preserve">PRECIO PROMEDIO</t>
  </si>
  <si>
    <t xml:space="preserve">VAR. PRECIO VS 2024</t>
  </si>
  <si>
    <t xml:space="preserve">VAR. UNIDADES VS 2024</t>
  </si>
  <si>
    <t xml:space="preserve">PESO TIENDA TRADICIONAL</t>
  </si>
  <si>
    <t xml:space="preserve">PESO E-COMMERCE</t>
  </si>
  <si>
    <t xml:space="preserve">Ventas en millones (M) de pesos; unidades en miles (K).</t>
  </si>
  <si>
    <t xml:space="preserve">Ventas mensuales (millones COP)</t>
  </si>
  <si>
    <t xml:space="preserve">Ventas por canal (millones COP)</t>
  </si>
  <si>
    <t xml:space="preserve">Mes</t>
  </si>
  <si>
    <t xml:space="preserve">2024</t>
  </si>
  <si>
    <t xml:space="preserve">2025</t>
  </si>
  <si>
    <t xml:space="preserve">Var. %</t>
  </si>
  <si>
    <t xml:space="preserve">Canal</t>
  </si>
  <si>
    <t xml:space="preserve">Ene</t>
  </si>
  <si>
    <t xml:space="preserve">Tienda tradicional</t>
  </si>
  <si>
    <t xml:space="preserve">Feb</t>
  </si>
  <si>
    <t xml:space="preserve">Supermercados</t>
  </si>
  <si>
    <t xml:space="preserve">Mar</t>
  </si>
  <si>
    <t xml:space="preserve">Droguerías y conveniencia</t>
  </si>
  <si>
    <t xml:space="preserve">Abr</t>
  </si>
  <si>
    <t xml:space="preserve">E-commerce</t>
  </si>
  <si>
    <t xml:space="preserve">May</t>
  </si>
  <si>
    <t xml:space="preserve">Jun</t>
  </si>
  <si>
    <t xml:space="preserve">Jul</t>
  </si>
  <si>
    <t xml:space="preserve">Marcas: ventas y participación 2025</t>
  </si>
  <si>
    <t xml:space="preserve">Ago</t>
  </si>
  <si>
    <t xml:space="preserve">Marca</t>
  </si>
  <si>
    <t xml:space="preserve">Ventas 2025 (M)</t>
  </si>
  <si>
    <t xml:space="preserve">Participación</t>
  </si>
  <si>
    <t xml:space="preserve">Sep</t>
  </si>
  <si>
    <t xml:space="preserve">Kroki</t>
  </si>
  <si>
    <t xml:space="preserve">Oct</t>
  </si>
  <si>
    <t xml:space="preserve">Doralín</t>
  </si>
  <si>
    <t xml:space="preserve">Nov</t>
  </si>
  <si>
    <t xml:space="preserve">Tostadita</t>
  </si>
  <si>
    <t xml:space="preserve">Dic</t>
  </si>
  <si>
    <t xml:space="preserve">Nativa</t>
  </si>
  <si>
    <t xml:space="preserve">Vértice</t>
  </si>
  <si>
    <t xml:space="preserve">Ventas por región (millones COP, total nacional)</t>
  </si>
  <si>
    <t xml:space="preserve">Hallazgos clave (total nacional)</t>
  </si>
  <si>
    <t xml:space="preserve">Región</t>
  </si>
  <si>
    <t xml:space="preserve">1. Las ventas crecieron +12,4% frente a 2024: el precio aportó más (+7,7%) que el volumen (+4,4%).</t>
  </si>
  <si>
    <t xml:space="preserve">Bogotá</t>
  </si>
  <si>
    <t xml:space="preserve">2. E-commerce es el canal de mayor crecimiento (+46,4%), aunque aún pesa poco en el total.</t>
  </si>
  <si>
    <t xml:space="preserve">Antioquia</t>
  </si>
  <si>
    <t xml:space="preserve">3. La tienda tradicional sigue siendo el canal principal (49,6% de las ventas), pero es el que menos crece (+5,6%).</t>
  </si>
  <si>
    <t xml:space="preserve">Valle del Cauca</t>
  </si>
  <si>
    <t xml:space="preserve">4. Nativa, la marca saludable, es la de mayor crecimiento (+41,4%) y gana 4,1 puntos de participación.</t>
  </si>
  <si>
    <t xml:space="preserve">Caribe</t>
  </si>
  <si>
    <t xml:space="preserve">5. Doralín es la marca más débil (-9,0%) y pierde 3,7 puntos: conviene revisar su precio, surtido y visibilidad.</t>
  </si>
  <si>
    <t xml:space="preserve">Eje Cafetero</t>
  </si>
  <si>
    <t xml:space="preserve">6. Diciembre es el mes pico: vende +23,3% más que el promedio mensual; junio y julio también suben por vacaciones.</t>
  </si>
  <si>
    <t xml:space="preserve">Año</t>
  </si>
  <si>
    <t xml:space="preserve">Unidades</t>
  </si>
  <si>
    <t xml:space="preserve">Precio promedio (COP)</t>
  </si>
  <si>
    <t xml:space="preserve">Ventas (COP)</t>
  </si>
  <si>
    <t xml:space="preserve">Sobre este archivo</t>
  </si>
  <si>
    <t xml:space="preserve">Dashboard de portafolio con datos simulados de una empresa ficticia de snacks (Andina Snacks). Ninguna cifra corresponde a una empresa real.</t>
  </si>
  <si>
    <t xml:space="preserve">Cómo usarlo</t>
  </si>
  <si>
    <t xml:space="preserve">• En la hoja Dashboard, elige una región en la celda amarilla (C4). Los indicadores, la tabla mensual, los canales, las marcas y los gráficos se actualizan.</t>
  </si>
  <si>
    <t xml:space="preserve">• La tabla de regiones y los hallazgos muestran siempre el total nacional.</t>
  </si>
  <si>
    <t xml:space="preserve">• Todos los cálculos usan fórmulas (SUMIFS) sobre la hoja Datos, así que puedes reemplazar los datos y el dashboard se recalcula.</t>
  </si>
  <si>
    <t xml:space="preserve">Estructura de los datos (hoja Datos)</t>
  </si>
  <si>
    <t xml:space="preserve">• 2.400 registros mensuales 2024-2025 por marca. canal y región.</t>
  </si>
  <si>
    <t xml:space="preserve">• Ventas (COP) = Unidades × Precio promedio.</t>
  </si>
  <si>
    <t xml:space="preserve">Herramientas</t>
  </si>
  <si>
    <t xml:space="preserve">Excel: SUMIFS, validación de datos, formato condicional de números y gráficos. Datos generados con Python (pandas, numpy).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</si>
</sst>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,,\M"/>
    <numFmt numFmtId="166" formatCode="\+0.0%;\-0.0%"/>
    <numFmt numFmtId="167" formatCode="#,##0,\K"/>
    <numFmt numFmtId="168" formatCode="\$#,##0"/>
    <numFmt numFmtId="169" formatCode="0.0%"/>
    <numFmt numFmtId="170" formatCode="#,##0.0"/>
    <numFmt numFmtId="171" formatCode="#,##0"/>
    <numFmt numFmtId="172" formatCode="\+0.0%"/>
    <numFmt numFmtId="173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10"/>
      <color rgb="FF1F3A4D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b val="true"/>
      <sz val="8"/>
      <color rgb="FF5D6D7E"/>
      <name val="Arial"/>
      <family val="0"/>
      <charset val="1"/>
    </font>
    <font>
      <b val="true"/>
      <sz val="16"/>
      <color rgb="FF1F3A4D"/>
      <name val="Arial"/>
      <family val="0"/>
      <charset val="1"/>
    </font>
    <font>
      <sz val="8"/>
      <color rgb="FF5D6D7E"/>
      <name val="Arial"/>
      <family val="0"/>
      <charset val="1"/>
    </font>
    <font>
      <b val="true"/>
      <sz val="12"/>
      <color rgb="FF1F3A4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3CD"/>
        <bgColor rgb="FFF4F6F7"/>
      </patternFill>
    </fill>
    <fill>
      <patternFill patternType="solid">
        <fgColor rgb="FFE8F4F2"/>
        <bgColor rgb="FFF4F6F7"/>
      </patternFill>
    </fill>
    <fill>
      <patternFill patternType="solid">
        <fgColor rgb="FF2A9D8F"/>
        <bgColor rgb="FF008080"/>
      </patternFill>
    </fill>
    <fill>
      <patternFill patternType="solid">
        <fgColor rgb="FFF4F6F7"/>
        <bgColor rgb="FFE8F4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/>
      <diagonal/>
    </border>
    <border diagonalUp="false" diagonalDown="false">
      <left style="thin">
        <color rgb="FFD5DBDB"/>
      </left>
      <right style="thin">
        <color rgb="FFD5DBDB"/>
      </right>
      <top/>
      <bottom/>
      <diagonal/>
    </border>
    <border diagonalUp="false" diagonalDown="false">
      <left style="thin">
        <color rgb="FFD5DBDB"/>
      </left>
      <right style="thin">
        <color rgb="FFD5DBDB"/>
      </right>
      <top/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7C0"/>
      <rgbColor rgb="FF878787"/>
      <rgbColor rgb="FF9999FF"/>
      <rgbColor rgb="FF993366"/>
      <rgbColor rgb="FFFFF3CD"/>
      <rgbColor rgb="FFE8F4F2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03366"/>
      <rgbColor rgb="FF2A9D8F"/>
      <rgbColor rgb="FF003300"/>
      <rgbColor rgb="FF222222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mensuales: 2024 vs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9b7c0"/>
            </a:solidFill>
            <a:ln w="28080">
              <a:solidFill>
                <a:srgbClr val="a9b7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Dashboard!$C$13:$C$24</c:f>
              <c:numCache>
                <c:formatCode>#,##0.0</c:formatCode>
                <c:ptCount val="12"/>
                <c:pt idx="0">
                  <c:v>361.5232</c:v>
                </c:pt>
                <c:pt idx="1">
                  <c:v>317.76894</c:v>
                </c:pt>
                <c:pt idx="2">
                  <c:v>341.66088</c:v>
                </c:pt>
                <c:pt idx="3">
                  <c:v>350.65114</c:v>
                </c:pt>
                <c:pt idx="4">
                  <c:v>361.24094</c:v>
                </c:pt>
                <c:pt idx="5">
                  <c:v>393.94244</c:v>
                </c:pt>
                <c:pt idx="6">
                  <c:v>404.97149</c:v>
                </c:pt>
                <c:pt idx="7">
                  <c:v>369.17061</c:v>
                </c:pt>
                <c:pt idx="8">
                  <c:v>349.96234</c:v>
                </c:pt>
                <c:pt idx="9">
                  <c:v>355.30133</c:v>
                </c:pt>
                <c:pt idx="10">
                  <c:v>385.14067</c:v>
                </c:pt>
                <c:pt idx="11">
                  <c:v>465.96057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Dashboard!D12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Dashboard!$D$13:$D$24</c:f>
              <c:numCache>
                <c:formatCode>#,##0.0</c:formatCode>
                <c:ptCount val="12"/>
                <c:pt idx="0">
                  <c:v>405.09563</c:v>
                </c:pt>
                <c:pt idx="1">
                  <c:v>354.23</c:v>
                </c:pt>
                <c:pt idx="2">
                  <c:v>383.15962</c:v>
                </c:pt>
                <c:pt idx="3">
                  <c:v>396.99221</c:v>
                </c:pt>
                <c:pt idx="4">
                  <c:v>404.62876</c:v>
                </c:pt>
                <c:pt idx="5">
                  <c:v>447.28681</c:v>
                </c:pt>
                <c:pt idx="6">
                  <c:v>458.05156</c:v>
                </c:pt>
                <c:pt idx="7">
                  <c:v>409.24768</c:v>
                </c:pt>
                <c:pt idx="8">
                  <c:v>398.75602</c:v>
                </c:pt>
                <c:pt idx="9">
                  <c:v>406.21188</c:v>
                </c:pt>
                <c:pt idx="10">
                  <c:v>429.845</c:v>
                </c:pt>
                <c:pt idx="11">
                  <c:v>514.76111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515719"/>
        <c:axId val="20559187"/>
      </c:lineChart>
      <c:catAx>
        <c:axId val="42515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59187"/>
        <c:crosses val="autoZero"/>
        <c:auto val="1"/>
        <c:lblAlgn val="ctr"/>
        <c:lblOffset val="100"/>
        <c:noMultiLvlLbl val="0"/>
      </c:catAx>
      <c:valAx>
        <c:axId val="20559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Millones 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157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Crecimiento por canal 2025 vs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Dashboard!J12</c:f>
              <c:strCache>
                <c:ptCount val="1"/>
                <c:pt idx="0">
                  <c:v>Var. %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numFmt formatCode="\+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Dashboard!$G$13:$G$16</c:f>
              <c:strCache>
                <c:ptCount val="4"/>
                <c:pt idx="0">
                  <c:v>Tienda tradicional</c:v>
                </c:pt>
                <c:pt idx="1">
                  <c:v>Supermercados</c:v>
                </c:pt>
                <c:pt idx="2">
                  <c:v>Droguerías y conveniencia</c:v>
                </c:pt>
                <c:pt idx="3">
                  <c:v>E-commerce</c:v>
                </c:pt>
              </c:strCache>
            </c:strRef>
          </c:cat>
          <c:val>
            <c:numRef>
              <c:f>Dashboard!$J$13:$J$16</c:f>
              <c:numCache>
                <c:formatCode>\+0.0%;\-0.0%</c:formatCode>
                <c:ptCount val="4"/>
                <c:pt idx="0">
                  <c:v>0.056114816295169</c:v>
                </c:pt>
                <c:pt idx="1">
                  <c:v>0.139109478770517</c:v>
                </c:pt>
                <c:pt idx="2">
                  <c:v>0.206766212576688</c:v>
                </c:pt>
                <c:pt idx="3">
                  <c:v>0.464338772370461</c:v>
                </c:pt>
              </c:numCache>
            </c:numRef>
          </c:val>
        </c:ser>
        <c:gapWidth val="150"/>
        <c:overlap val="0"/>
        <c:axId val="2715846"/>
        <c:axId val="75364564"/>
      </c:barChart>
      <c:catAx>
        <c:axId val="2715846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64564"/>
        <c:crosses val="autoZero"/>
        <c:auto val="1"/>
        <c:lblAlgn val="ctr"/>
        <c:lblOffset val="100"/>
        <c:noMultiLvlLbl val="0"/>
      </c:catAx>
      <c:valAx>
        <c:axId val="75364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%;\-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58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Participación de mercado por marca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Dashboard!I20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1f3a4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Dashboard!$G$21:$G$25</c:f>
              <c:strCache>
                <c:ptCount val="5"/>
                <c:pt idx="0">
                  <c:v>Kroki</c:v>
                </c:pt>
                <c:pt idx="1">
                  <c:v>Doralín</c:v>
                </c:pt>
                <c:pt idx="2">
                  <c:v>Tostadita</c:v>
                </c:pt>
                <c:pt idx="3">
                  <c:v>Nativa</c:v>
                </c:pt>
                <c:pt idx="4">
                  <c:v>Vértice</c:v>
                </c:pt>
              </c:strCache>
            </c:strRef>
          </c:cat>
          <c:val>
            <c:numRef>
              <c:f>Dashboard!$I$21:$I$25</c:f>
              <c:numCache>
                <c:formatCode>0.0%</c:formatCode>
                <c:ptCount val="5"/>
                <c:pt idx="0">
                  <c:v>0.35168892816937</c:v>
                </c:pt>
                <c:pt idx="1">
                  <c:v>0.15887009106872</c:v>
                </c:pt>
                <c:pt idx="2">
                  <c:v>0.161534999293209</c:v>
                </c:pt>
                <c:pt idx="3">
                  <c:v>0.200815372780059</c:v>
                </c:pt>
                <c:pt idx="4">
                  <c:v>0.127090608688642</c:v>
                </c:pt>
              </c:numCache>
            </c:numRef>
          </c:val>
        </c:ser>
        <c:gapWidth val="150"/>
        <c:overlap val="0"/>
        <c:axId val="94622335"/>
        <c:axId val="10035393"/>
      </c:barChart>
      <c:catAx>
        <c:axId val="946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35393"/>
        <c:crosses val="autoZero"/>
        <c:auto val="1"/>
        <c:lblAlgn val="ctr"/>
        <c:lblOffset val="100"/>
        <c:noMultiLvlLbl val="0"/>
      </c:catAx>
      <c:valAx>
        <c:axId val="10035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23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35</xdr:row>
      <xdr:rowOff>0</xdr:rowOff>
    </xdr:from>
    <xdr:to>
      <xdr:col>6</xdr:col>
      <xdr:colOff>614520</xdr:colOff>
      <xdr:row>49</xdr:row>
      <xdr:rowOff>32760</xdr:rowOff>
    </xdr:to>
    <xdr:graphicFrame>
      <xdr:nvGraphicFramePr>
        <xdr:cNvPr id="0" name="Chart 1"/>
        <xdr:cNvGraphicFramePr/>
      </xdr:nvGraphicFramePr>
      <xdr:xfrm>
        <a:off x="141120" y="83725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10</xdr:col>
      <xdr:colOff>105480</xdr:colOff>
      <xdr:row>49</xdr:row>
      <xdr:rowOff>32760</xdr:rowOff>
    </xdr:to>
    <xdr:graphicFrame>
      <xdr:nvGraphicFramePr>
        <xdr:cNvPr id="1" name="Chart 2"/>
        <xdr:cNvGraphicFramePr/>
      </xdr:nvGraphicFramePr>
      <xdr:xfrm>
        <a:off x="5286240" y="83725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6</xdr:col>
      <xdr:colOff>614520</xdr:colOff>
      <xdr:row>65</xdr:row>
      <xdr:rowOff>32760</xdr:rowOff>
    </xdr:to>
    <xdr:graphicFrame>
      <xdr:nvGraphicFramePr>
        <xdr:cNvPr id="2" name="Chart 3"/>
        <xdr:cNvGraphicFramePr/>
      </xdr:nvGraphicFramePr>
      <xdr:xfrm>
        <a:off x="141120" y="114206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4" min="12" style="0" width="14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N1" s="2" t="str">
        <f aca="false">IF($C$4="Todas","*",$C$4)</f>
        <v>*</v>
      </c>
    </row>
    <row r="2" customFormat="false" ht="1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</row>
    <row r="4" customFormat="false" ht="15" hidden="false" customHeight="false" outlineLevel="0" collapsed="false">
      <c r="B4" s="4" t="s">
        <v>2</v>
      </c>
      <c r="C4" s="5" t="s">
        <v>3</v>
      </c>
      <c r="D4" s="6" t="s">
        <v>4</v>
      </c>
    </row>
    <row r="6" customFormat="false" ht="25.5" hidden="false" customHeight="true" outlineLevel="0" collapsed="false">
      <c r="B6" s="7" t="s">
        <v>5</v>
      </c>
      <c r="C6" s="7" t="s">
        <v>6</v>
      </c>
      <c r="D6" s="7" t="s">
        <v>7</v>
      </c>
      <c r="E6" s="7" t="s">
        <v>8</v>
      </c>
      <c r="G6" s="7" t="s">
        <v>9</v>
      </c>
      <c r="H6" s="7" t="s">
        <v>10</v>
      </c>
      <c r="I6" s="7" t="s">
        <v>11</v>
      </c>
      <c r="J6" s="7" t="s">
        <v>12</v>
      </c>
    </row>
    <row r="7" customFormat="false" ht="30" hidden="false" customHeight="true" outlineLevel="0" collapsed="false">
      <c r="B7" s="8" t="n">
        <f aca="false">SUMIFS(Datos!$H$2:$H$2401,Datos!$A$2:$A$2401,2025,Datos!$E$2:$E$2401,$N$1)</f>
        <v>5008266280</v>
      </c>
      <c r="C7" s="9" t="n">
        <f aca="false">IFERROR(SUMIFS(Datos!$H$2:$H$2401,Datos!$A$2:$A$2401,2025,Datos!$E$2:$E$2401,$N$1)/SUMIFS(Datos!$H$2:$H$2401,Datos!$A$2:$A$2401,2024,Datos!$E$2:$E$2401,$N$1)-1,0)</f>
        <v>0.123611245301256</v>
      </c>
      <c r="D7" s="10" t="n">
        <f aca="false">SUMIFS(Datos!$F$2:$F$2401,Datos!$A$2:$A$2401,2025,Datos!$E$2:$E$2401,$N$1)</f>
        <v>1828527</v>
      </c>
      <c r="E7" s="11" t="n">
        <f aca="false">IFERROR(SUMIFS(Datos!$H$2:$H$2401,Datos!$A$2:$A$2401,2025,Datos!$E$2:$E$2401,$N$1)/SUMIFS(Datos!$F$2:$F$2401,Datos!$A$2:$A$2401,2025,Datos!$E$2:$E$2401,$N$1),0)</f>
        <v>2738.96217009648</v>
      </c>
      <c r="G7" s="9" t="n">
        <f aca="false">IFERROR(E7/(SUMIFS(Datos!$H$2:$H$2401,Datos!$A$2:$A$2401,2024,Datos!$E$2:$E$2401,$N$1)/SUMIFS(Datos!$F$2:$F$2401,Datos!$A$2:$A$2401,2024,Datos!$E$2:$E$2401,$N$1))-1,0)</f>
        <v>0.0767496363789271</v>
      </c>
      <c r="H7" s="9" t="n">
        <f aca="false">IFERROR(SUMIFS(Datos!$F$2:$F$2401,Datos!$A$2:$A$2401,2025,Datos!$E$2:$E$2401,$N$1)/SUMIFS(Datos!$F$2:$F$2401,Datos!$A$2:$A$2401,2024,Datos!$E$2:$E$2401,$N$1)-1,0)</f>
        <v>0.0435213603414093</v>
      </c>
      <c r="I7" s="12" t="n">
        <f aca="false">IFERROR(SUMIFS(Datos!$H$2:$H$2401,Datos!$A$2:$A$2401,2025,Datos!$E$2:$E$2401,$N$1,Datos!$D$2:$D$2401,"Tienda tradicional")/SUMIFS(Datos!$H$2:$H$2401,Datos!$A$2:$A$2401,2025,Datos!$E$2:$E$2401,$N$1),0)</f>
        <v>0.496037544952582</v>
      </c>
      <c r="J7" s="12" t="n">
        <f aca="false">IFERROR(SUMIFS(Datos!$H$2:$H$2401,Datos!$A$2:$A$2401,2025,Datos!$E$2:$E$2401,$N$1,Datos!$D$2:$D$2401,"E-commerce")/SUMIFS(Datos!$H$2:$H$2401,Datos!$A$2:$A$2401,2025,Datos!$E$2:$E$2401,$N$1),0)</f>
        <v>0.0719788884707624</v>
      </c>
    </row>
    <row r="8" customFormat="false" ht="15" hidden="false" customHeight="false" outlineLevel="0" collapsed="false">
      <c r="B8" s="13"/>
      <c r="C8" s="13"/>
      <c r="D8" s="13"/>
      <c r="E8" s="13"/>
      <c r="G8" s="13"/>
      <c r="H8" s="13"/>
      <c r="I8" s="13"/>
      <c r="J8" s="13"/>
    </row>
    <row r="9" customFormat="false" ht="15" hidden="false" customHeight="false" outlineLevel="0" collapsed="false">
      <c r="B9" s="14" t="s">
        <v>13</v>
      </c>
    </row>
    <row r="11" customFormat="false" ht="15" hidden="false" customHeight="false" outlineLevel="0" collapsed="false">
      <c r="B11" s="15" t="s">
        <v>14</v>
      </c>
      <c r="G11" s="15" t="s">
        <v>15</v>
      </c>
    </row>
    <row r="12" customFormat="false" ht="15" hidden="false" customHeight="false" outlineLevel="0" collapsed="false">
      <c r="B12" s="16" t="s">
        <v>16</v>
      </c>
      <c r="C12" s="16" t="s">
        <v>17</v>
      </c>
      <c r="D12" s="16" t="s">
        <v>18</v>
      </c>
      <c r="E12" s="16" t="s">
        <v>19</v>
      </c>
      <c r="G12" s="16" t="s">
        <v>20</v>
      </c>
      <c r="H12" s="16" t="s">
        <v>17</v>
      </c>
      <c r="I12" s="16" t="s">
        <v>18</v>
      </c>
      <c r="J12" s="16" t="s">
        <v>19</v>
      </c>
    </row>
    <row r="13" customFormat="false" ht="15" hidden="false" customHeight="false" outlineLevel="0" collapsed="false">
      <c r="B13" s="17" t="s">
        <v>21</v>
      </c>
      <c r="C13" s="18" t="n">
        <f aca="false">SUMIFS(Datos!$H$2:$H$2401,Datos!$A$2:$A$2401,2024,Datos!$E$2:$E$2401,$N$1,Datos!$B$2:$B$2401,1)/1000000</f>
        <v>361.5232</v>
      </c>
      <c r="D13" s="18" t="n">
        <f aca="false">SUMIFS(Datos!$H$2:$H$2401,Datos!$A$2:$A$2401,2025,Datos!$E$2:$E$2401,$N$1,Datos!$B$2:$B$2401,1)/1000000</f>
        <v>405.09563</v>
      </c>
      <c r="E13" s="19" t="n">
        <f aca="false">IFERROR(D13/C13-1,0)</f>
        <v>0.120524574909715</v>
      </c>
      <c r="G13" s="20" t="s">
        <v>22</v>
      </c>
      <c r="H13" s="18" t="n">
        <f aca="false">SUMIFS(Datos!$H$2:$H$2401,Datos!$A$2:$A$2401,2024,Datos!$E$2:$E$2401,$N$1,Datos!$D$2:$D$2401,$G13)/1000000</f>
        <v>2352.2898</v>
      </c>
      <c r="I13" s="18" t="n">
        <f aca="false">SUMIFS(Datos!$H$2:$H$2401,Datos!$A$2:$A$2401,2025,Datos!$E$2:$E$2401,$N$1,Datos!$D$2:$D$2401,$G13)/1000000</f>
        <v>2484.28811</v>
      </c>
      <c r="J13" s="19" t="n">
        <f aca="false">IFERROR(I13/H13-1,0)</f>
        <v>0.056114816295169</v>
      </c>
    </row>
    <row r="14" customFormat="false" ht="15" hidden="false" customHeight="false" outlineLevel="0" collapsed="false">
      <c r="B14" s="21" t="s">
        <v>23</v>
      </c>
      <c r="C14" s="22" t="n">
        <f aca="false">SUMIFS(Datos!$H$2:$H$2401,Datos!$A$2:$A$2401,2024,Datos!$E$2:$E$2401,$N$1,Datos!$B$2:$B$2401,2)/1000000</f>
        <v>317.76894</v>
      </c>
      <c r="D14" s="22" t="n">
        <f aca="false">SUMIFS(Datos!$H$2:$H$2401,Datos!$A$2:$A$2401,2025,Datos!$E$2:$E$2401,$N$1,Datos!$B$2:$B$2401,2)/1000000</f>
        <v>354.23</v>
      </c>
      <c r="E14" s="23" t="n">
        <f aca="false">IFERROR(D14/C14-1,0)</f>
        <v>0.114740792476445</v>
      </c>
      <c r="G14" s="20" t="s">
        <v>24</v>
      </c>
      <c r="H14" s="18" t="n">
        <f aca="false">SUMIFS(Datos!$H$2:$H$2401,Datos!$A$2:$A$2401,2024,Datos!$E$2:$E$2401,$N$1,Datos!$D$2:$D$2401,$G14)/1000000</f>
        <v>1177.70084</v>
      </c>
      <c r="I14" s="18" t="n">
        <f aca="false">SUMIFS(Datos!$H$2:$H$2401,Datos!$A$2:$A$2401,2025,Datos!$E$2:$E$2401,$N$1,Datos!$D$2:$D$2401,$G14)/1000000</f>
        <v>1341.53019</v>
      </c>
      <c r="J14" s="19" t="n">
        <f aca="false">IFERROR(I14/H14-1,0)</f>
        <v>0.139109478770517</v>
      </c>
    </row>
    <row r="15" customFormat="false" ht="15" hidden="false" customHeight="false" outlineLevel="0" collapsed="false">
      <c r="B15" s="17" t="s">
        <v>25</v>
      </c>
      <c r="C15" s="18" t="n">
        <f aca="false">SUMIFS(Datos!$H$2:$H$2401,Datos!$A$2:$A$2401,2024,Datos!$E$2:$E$2401,$N$1,Datos!$B$2:$B$2401,3)/1000000</f>
        <v>341.66088</v>
      </c>
      <c r="D15" s="18" t="n">
        <f aca="false">SUMIFS(Datos!$H$2:$H$2401,Datos!$A$2:$A$2401,2025,Datos!$E$2:$E$2401,$N$1,Datos!$B$2:$B$2401,3)/1000000</f>
        <v>383.15962</v>
      </c>
      <c r="E15" s="19" t="n">
        <f aca="false">IFERROR(D15/C15-1,0)</f>
        <v>0.121461783977141</v>
      </c>
      <c r="G15" s="20" t="s">
        <v>26</v>
      </c>
      <c r="H15" s="18" t="n">
        <f aca="false">SUMIFS(Datos!$H$2:$H$2401,Datos!$A$2:$A$2401,2024,Datos!$E$2:$E$2401,$N$1,Datos!$D$2:$D$2401,$G15)/1000000</f>
        <v>681.12492</v>
      </c>
      <c r="I15" s="18" t="n">
        <f aca="false">SUMIFS(Datos!$H$2:$H$2401,Datos!$A$2:$A$2401,2025,Datos!$E$2:$E$2401,$N$1,Datos!$D$2:$D$2401,$G15)/1000000</f>
        <v>821.95854</v>
      </c>
      <c r="J15" s="19" t="n">
        <f aca="false">IFERROR(I15/H15-1,0)</f>
        <v>0.206766212576688</v>
      </c>
    </row>
    <row r="16" customFormat="false" ht="15" hidden="false" customHeight="false" outlineLevel="0" collapsed="false">
      <c r="B16" s="21" t="s">
        <v>27</v>
      </c>
      <c r="C16" s="22" t="n">
        <f aca="false">SUMIFS(Datos!$H$2:$H$2401,Datos!$A$2:$A$2401,2024,Datos!$E$2:$E$2401,$N$1,Datos!$B$2:$B$2401,4)/1000000</f>
        <v>350.65114</v>
      </c>
      <c r="D16" s="22" t="n">
        <f aca="false">SUMIFS(Datos!$H$2:$H$2401,Datos!$A$2:$A$2401,2025,Datos!$E$2:$E$2401,$N$1,Datos!$B$2:$B$2401,4)/1000000</f>
        <v>396.99221</v>
      </c>
      <c r="E16" s="23" t="n">
        <f aca="false">IFERROR(D16/C16-1,0)</f>
        <v>0.132157191903041</v>
      </c>
      <c r="G16" s="20" t="s">
        <v>28</v>
      </c>
      <c r="H16" s="18" t="n">
        <f aca="false">SUMIFS(Datos!$H$2:$H$2401,Datos!$A$2:$A$2401,2024,Datos!$E$2:$E$2401,$N$1,Datos!$D$2:$D$2401,$G16)/1000000</f>
        <v>246.17899</v>
      </c>
      <c r="I16" s="18" t="n">
        <f aca="false">SUMIFS(Datos!$H$2:$H$2401,Datos!$A$2:$A$2401,2025,Datos!$E$2:$E$2401,$N$1,Datos!$D$2:$D$2401,$G16)/1000000</f>
        <v>360.48944</v>
      </c>
      <c r="J16" s="19" t="n">
        <f aca="false">IFERROR(I16/H16-1,0)</f>
        <v>0.464338772370461</v>
      </c>
    </row>
    <row r="17" customFormat="false" ht="15" hidden="false" customHeight="false" outlineLevel="0" collapsed="false">
      <c r="B17" s="17" t="s">
        <v>29</v>
      </c>
      <c r="C17" s="18" t="n">
        <f aca="false">SUMIFS(Datos!$H$2:$H$2401,Datos!$A$2:$A$2401,2024,Datos!$E$2:$E$2401,$N$1,Datos!$B$2:$B$2401,5)/1000000</f>
        <v>361.24094</v>
      </c>
      <c r="D17" s="18" t="n">
        <f aca="false">SUMIFS(Datos!$H$2:$H$2401,Datos!$A$2:$A$2401,2025,Datos!$E$2:$E$2401,$N$1,Datos!$B$2:$B$2401,5)/1000000</f>
        <v>404.62876</v>
      </c>
      <c r="E17" s="19" t="n">
        <f aca="false">IFERROR(D17/C17-1,0)</f>
        <v>0.120107704292874</v>
      </c>
    </row>
    <row r="18" customFormat="false" ht="15" hidden="false" customHeight="false" outlineLevel="0" collapsed="false">
      <c r="B18" s="21" t="s">
        <v>30</v>
      </c>
      <c r="C18" s="22" t="n">
        <f aca="false">SUMIFS(Datos!$H$2:$H$2401,Datos!$A$2:$A$2401,2024,Datos!$E$2:$E$2401,$N$1,Datos!$B$2:$B$2401,6)/1000000</f>
        <v>393.94244</v>
      </c>
      <c r="D18" s="22" t="n">
        <f aca="false">SUMIFS(Datos!$H$2:$H$2401,Datos!$A$2:$A$2401,2025,Datos!$E$2:$E$2401,$N$1,Datos!$B$2:$B$2401,6)/1000000</f>
        <v>447.28681</v>
      </c>
      <c r="E18" s="23" t="n">
        <f aca="false">IFERROR(D18/C18-1,0)</f>
        <v>0.135411584494425</v>
      </c>
    </row>
    <row r="19" customFormat="false" ht="15" hidden="false" customHeight="false" outlineLevel="0" collapsed="false">
      <c r="B19" s="17" t="s">
        <v>31</v>
      </c>
      <c r="C19" s="18" t="n">
        <f aca="false">SUMIFS(Datos!$H$2:$H$2401,Datos!$A$2:$A$2401,2024,Datos!$E$2:$E$2401,$N$1,Datos!$B$2:$B$2401,7)/1000000</f>
        <v>404.97149</v>
      </c>
      <c r="D19" s="18" t="n">
        <f aca="false">SUMIFS(Datos!$H$2:$H$2401,Datos!$A$2:$A$2401,2025,Datos!$E$2:$E$2401,$N$1,Datos!$B$2:$B$2401,7)/1000000</f>
        <v>458.05156</v>
      </c>
      <c r="E19" s="19" t="n">
        <f aca="false">IFERROR(D19/C19-1,0)</f>
        <v>0.131071127994714</v>
      </c>
      <c r="G19" s="15" t="s">
        <v>32</v>
      </c>
    </row>
    <row r="20" customFormat="false" ht="15" hidden="false" customHeight="false" outlineLevel="0" collapsed="false">
      <c r="B20" s="21" t="s">
        <v>33</v>
      </c>
      <c r="C20" s="22" t="n">
        <f aca="false">SUMIFS(Datos!$H$2:$H$2401,Datos!$A$2:$A$2401,2024,Datos!$E$2:$E$2401,$N$1,Datos!$B$2:$B$2401,8)/1000000</f>
        <v>369.17061</v>
      </c>
      <c r="D20" s="22" t="n">
        <f aca="false">SUMIFS(Datos!$H$2:$H$2401,Datos!$A$2:$A$2401,2025,Datos!$E$2:$E$2401,$N$1,Datos!$B$2:$B$2401,8)/1000000</f>
        <v>409.24768</v>
      </c>
      <c r="E20" s="23" t="n">
        <f aca="false">IFERROR(D20/C20-1,0)</f>
        <v>0.108559752359485</v>
      </c>
      <c r="G20" s="16" t="s">
        <v>34</v>
      </c>
      <c r="H20" s="16" t="s">
        <v>35</v>
      </c>
      <c r="I20" s="16" t="s">
        <v>36</v>
      </c>
      <c r="J20" s="16" t="s">
        <v>19</v>
      </c>
    </row>
    <row r="21" customFormat="false" ht="15" hidden="false" customHeight="false" outlineLevel="0" collapsed="false">
      <c r="B21" s="17" t="s">
        <v>37</v>
      </c>
      <c r="C21" s="18" t="n">
        <f aca="false">SUMIFS(Datos!$H$2:$H$2401,Datos!$A$2:$A$2401,2024,Datos!$E$2:$E$2401,$N$1,Datos!$B$2:$B$2401,9)/1000000</f>
        <v>349.96234</v>
      </c>
      <c r="D21" s="18" t="n">
        <f aca="false">SUMIFS(Datos!$H$2:$H$2401,Datos!$A$2:$A$2401,2025,Datos!$E$2:$E$2401,$N$1,Datos!$B$2:$B$2401,9)/1000000</f>
        <v>398.75602</v>
      </c>
      <c r="E21" s="19" t="n">
        <f aca="false">IFERROR(D21/C21-1,0)</f>
        <v>0.139425516471287</v>
      </c>
      <c r="G21" s="20" t="s">
        <v>38</v>
      </c>
      <c r="H21" s="18" t="n">
        <f aca="false">SUMIFS(Datos!$H$2:$H$2401,Datos!$A$2:$A$2401,2025,Datos!$E$2:$E$2401,$N$1,Datos!$C$2:$C$2401,$G21)/1000000</f>
        <v>1761.3518</v>
      </c>
      <c r="I21" s="24" t="n">
        <f aca="false">IFERROR(H21/SUM($H$21:$H$25),0)</f>
        <v>0.35168892816937</v>
      </c>
      <c r="J21" s="19" t="n">
        <f aca="false">IFERROR(H21/(SUMIFS(Datos!$H$2:$H$2401,Datos!$A$2:$A$2401,2024,Datos!$E$2:$E$2401,$N$1,Datos!$C$2:$C$2401,$G21)/1000000)-1,0)</f>
        <v>0.11223466543108</v>
      </c>
    </row>
    <row r="22" customFormat="false" ht="15" hidden="false" customHeight="false" outlineLevel="0" collapsed="false">
      <c r="B22" s="21" t="s">
        <v>39</v>
      </c>
      <c r="C22" s="22" t="n">
        <f aca="false">SUMIFS(Datos!$H$2:$H$2401,Datos!$A$2:$A$2401,2024,Datos!$E$2:$E$2401,$N$1,Datos!$B$2:$B$2401,10)/1000000</f>
        <v>355.30133</v>
      </c>
      <c r="D22" s="22" t="n">
        <f aca="false">SUMIFS(Datos!$H$2:$H$2401,Datos!$A$2:$A$2401,2025,Datos!$E$2:$E$2401,$N$1,Datos!$B$2:$B$2401,10)/1000000</f>
        <v>406.21188</v>
      </c>
      <c r="E22" s="23" t="n">
        <f aca="false">IFERROR(D22/C22-1,0)</f>
        <v>0.143288374406029</v>
      </c>
      <c r="G22" s="20" t="s">
        <v>40</v>
      </c>
      <c r="H22" s="18" t="n">
        <f aca="false">SUMIFS(Datos!$H$2:$H$2401,Datos!$A$2:$A$2401,2025,Datos!$E$2:$E$2401,$N$1,Datos!$C$2:$C$2401,$G22)/1000000</f>
        <v>795.66372</v>
      </c>
      <c r="I22" s="24" t="n">
        <f aca="false">IFERROR(H22/SUM($H$21:$H$25),0)</f>
        <v>0.15887009106872</v>
      </c>
      <c r="J22" s="19" t="n">
        <f aca="false">IFERROR(H22/(SUMIFS(Datos!$H$2:$H$2401,Datos!$A$2:$A$2401,2024,Datos!$E$2:$E$2401,$N$1,Datos!$C$2:$C$2401,$G22)/1000000)-1,0)</f>
        <v>-0.0897766110198565</v>
      </c>
    </row>
    <row r="23" customFormat="false" ht="15" hidden="false" customHeight="false" outlineLevel="0" collapsed="false">
      <c r="B23" s="17" t="s">
        <v>41</v>
      </c>
      <c r="C23" s="18" t="n">
        <f aca="false">SUMIFS(Datos!$H$2:$H$2401,Datos!$A$2:$A$2401,2024,Datos!$E$2:$E$2401,$N$1,Datos!$B$2:$B$2401,11)/1000000</f>
        <v>385.14067</v>
      </c>
      <c r="D23" s="18" t="n">
        <f aca="false">SUMIFS(Datos!$H$2:$H$2401,Datos!$A$2:$A$2401,2025,Datos!$E$2:$E$2401,$N$1,Datos!$B$2:$B$2401,11)/1000000</f>
        <v>429.845</v>
      </c>
      <c r="E23" s="19" t="n">
        <f aca="false">IFERROR(D23/C23-1,0)</f>
        <v>0.116072732594042</v>
      </c>
      <c r="G23" s="20" t="s">
        <v>42</v>
      </c>
      <c r="H23" s="18" t="n">
        <f aca="false">SUMIFS(Datos!$H$2:$H$2401,Datos!$A$2:$A$2401,2025,Datos!$E$2:$E$2401,$N$1,Datos!$C$2:$C$2401,$G23)/1000000</f>
        <v>809.01029</v>
      </c>
      <c r="I23" s="24" t="n">
        <f aca="false">IFERROR(H23/SUM($H$21:$H$25),0)</f>
        <v>0.161534999293209</v>
      </c>
      <c r="J23" s="19" t="n">
        <f aca="false">IFERROR(H23/(SUMIFS(Datos!$H$2:$H$2401,Datos!$A$2:$A$2401,2024,Datos!$E$2:$E$2401,$N$1,Datos!$C$2:$C$2401,$G23)/1000000)-1,0)</f>
        <v>0.149297908662408</v>
      </c>
    </row>
    <row r="24" customFormat="false" ht="15" hidden="false" customHeight="false" outlineLevel="0" collapsed="false">
      <c r="B24" s="21" t="s">
        <v>43</v>
      </c>
      <c r="C24" s="22" t="n">
        <f aca="false">SUMIFS(Datos!$H$2:$H$2401,Datos!$A$2:$A$2401,2024,Datos!$E$2:$E$2401,$N$1,Datos!$B$2:$B$2401,12)/1000000</f>
        <v>465.96057</v>
      </c>
      <c r="D24" s="22" t="n">
        <f aca="false">SUMIFS(Datos!$H$2:$H$2401,Datos!$A$2:$A$2401,2025,Datos!$E$2:$E$2401,$N$1,Datos!$B$2:$B$2401,12)/1000000</f>
        <v>514.76111</v>
      </c>
      <c r="E24" s="23" t="n">
        <f aca="false">IFERROR(D24/C24-1,0)</f>
        <v>0.104731050526443</v>
      </c>
      <c r="G24" s="20" t="s">
        <v>44</v>
      </c>
      <c r="H24" s="18" t="n">
        <f aca="false">SUMIFS(Datos!$H$2:$H$2401,Datos!$A$2:$A$2401,2025,Datos!$E$2:$E$2401,$N$1,Datos!$C$2:$C$2401,$G24)/1000000</f>
        <v>1005.73686</v>
      </c>
      <c r="I24" s="24" t="n">
        <f aca="false">IFERROR(H24/SUM($H$21:$H$25),0)</f>
        <v>0.200815372780059</v>
      </c>
      <c r="J24" s="19" t="n">
        <f aca="false">IFERROR(H24/(SUMIFS(Datos!$H$2:$H$2401,Datos!$A$2:$A$2401,2024,Datos!$E$2:$E$2401,$N$1,Datos!$C$2:$C$2401,$G24)/1000000)-1,0)</f>
        <v>0.413924825706447</v>
      </c>
    </row>
    <row r="25" customFormat="false" ht="15" hidden="false" customHeight="false" outlineLevel="0" collapsed="false">
      <c r="G25" s="20" t="s">
        <v>45</v>
      </c>
      <c r="H25" s="18" t="n">
        <f aca="false">SUMIFS(Datos!$H$2:$H$2401,Datos!$A$2:$A$2401,2025,Datos!$E$2:$E$2401,$N$1,Datos!$C$2:$C$2401,$G25)/1000000</f>
        <v>636.50361</v>
      </c>
      <c r="I25" s="24" t="n">
        <f aca="false">IFERROR(H25/SUM($H$21:$H$25),0)</f>
        <v>0.127090608688642</v>
      </c>
      <c r="J25" s="19" t="n">
        <f aca="false">IFERROR(H25/(SUMIFS(Datos!$H$2:$H$2401,Datos!$A$2:$A$2401,2024,Datos!$E$2:$E$2401,$N$1,Datos!$C$2:$C$2401,$G25)/1000000)-1,0)</f>
        <v>0.0893203755886896</v>
      </c>
    </row>
    <row r="27" customFormat="false" ht="15" hidden="false" customHeight="false" outlineLevel="0" collapsed="false">
      <c r="B27" s="15" t="s">
        <v>46</v>
      </c>
      <c r="G27" s="15" t="s">
        <v>47</v>
      </c>
    </row>
    <row r="28" customFormat="false" ht="30" hidden="false" customHeight="true" outlineLevel="0" collapsed="false">
      <c r="B28" s="16" t="s">
        <v>48</v>
      </c>
      <c r="C28" s="16" t="s">
        <v>17</v>
      </c>
      <c r="D28" s="16" t="s">
        <v>18</v>
      </c>
      <c r="E28" s="16" t="s">
        <v>19</v>
      </c>
      <c r="G28" s="25" t="s">
        <v>49</v>
      </c>
      <c r="H28" s="25"/>
      <c r="I28" s="25"/>
      <c r="J28" s="25"/>
    </row>
    <row r="29" customFormat="false" ht="30" hidden="false" customHeight="true" outlineLevel="0" collapsed="false">
      <c r="B29" s="20" t="s">
        <v>50</v>
      </c>
      <c r="C29" s="18" t="n">
        <f aca="false">SUMIFS(Datos!$H$2:$H$2401,Datos!$A$2:$A$2401,2024,Datos!$E$2:$E$2401,$B29)/1000000</f>
        <v>1422.66061</v>
      </c>
      <c r="D29" s="18" t="n">
        <f aca="false">SUMIFS(Datos!$H$2:$H$2401,Datos!$A$2:$A$2401,2025,Datos!$E$2:$E$2401,$B29)/1000000</f>
        <v>1604.8635</v>
      </c>
      <c r="E29" s="19" t="n">
        <f aca="false">IFERROR(D29/C29-1,0)</f>
        <v>0.128071929959458</v>
      </c>
      <c r="G29" s="25" t="s">
        <v>51</v>
      </c>
      <c r="H29" s="25"/>
      <c r="I29" s="25"/>
      <c r="J29" s="25"/>
    </row>
    <row r="30" customFormat="false" ht="30" hidden="false" customHeight="true" outlineLevel="0" collapsed="false">
      <c r="B30" s="20" t="s">
        <v>52</v>
      </c>
      <c r="C30" s="18" t="n">
        <f aca="false">SUMIFS(Datos!$H$2:$H$2401,Datos!$A$2:$A$2401,2024,Datos!$E$2:$E$2401,$B30)/1000000</f>
        <v>894.63332</v>
      </c>
      <c r="D30" s="18" t="n">
        <f aca="false">SUMIFS(Datos!$H$2:$H$2401,Datos!$A$2:$A$2401,2025,Datos!$E$2:$E$2401,$B30)/1000000</f>
        <v>1000.54154</v>
      </c>
      <c r="E30" s="19" t="n">
        <f aca="false">IFERROR(D30/C30-1,0)</f>
        <v>0.118381707491065</v>
      </c>
      <c r="G30" s="25" t="s">
        <v>53</v>
      </c>
      <c r="H30" s="25"/>
      <c r="I30" s="25"/>
      <c r="J30" s="25"/>
    </row>
    <row r="31" customFormat="false" ht="30" hidden="false" customHeight="true" outlineLevel="0" collapsed="false">
      <c r="B31" s="20" t="s">
        <v>54</v>
      </c>
      <c r="C31" s="18" t="n">
        <f aca="false">SUMIFS(Datos!$H$2:$H$2401,Datos!$A$2:$A$2401,2024,Datos!$E$2:$E$2401,$B31)/1000000</f>
        <v>706.6918</v>
      </c>
      <c r="D31" s="18" t="n">
        <f aca="false">SUMIFS(Datos!$H$2:$H$2401,Datos!$A$2:$A$2401,2025,Datos!$E$2:$E$2401,$B31)/1000000</f>
        <v>803.40049</v>
      </c>
      <c r="E31" s="19" t="n">
        <f aca="false">IFERROR(D31/C31-1,0)</f>
        <v>0.13684705270388</v>
      </c>
      <c r="G31" s="25" t="s">
        <v>55</v>
      </c>
      <c r="H31" s="25"/>
      <c r="I31" s="25"/>
      <c r="J31" s="25"/>
    </row>
    <row r="32" customFormat="false" ht="30" hidden="false" customHeight="true" outlineLevel="0" collapsed="false">
      <c r="B32" s="20" t="s">
        <v>56</v>
      </c>
      <c r="C32" s="18" t="n">
        <f aca="false">SUMIFS(Datos!$H$2:$H$2401,Datos!$A$2:$A$2401,2024,Datos!$E$2:$E$2401,$B32)/1000000</f>
        <v>852.71594</v>
      </c>
      <c r="D32" s="18" t="n">
        <f aca="false">SUMIFS(Datos!$H$2:$H$2401,Datos!$A$2:$A$2401,2025,Datos!$E$2:$E$2401,$B32)/1000000</f>
        <v>946.17856</v>
      </c>
      <c r="E32" s="19" t="n">
        <f aca="false">IFERROR(D32/C32-1,0)</f>
        <v>0.109605808471224</v>
      </c>
      <c r="G32" s="25" t="s">
        <v>57</v>
      </c>
      <c r="H32" s="25"/>
      <c r="I32" s="25"/>
      <c r="J32" s="25"/>
    </row>
    <row r="33" customFormat="false" ht="30" hidden="false" customHeight="true" outlineLevel="0" collapsed="false">
      <c r="B33" s="20" t="s">
        <v>58</v>
      </c>
      <c r="C33" s="18" t="n">
        <f aca="false">SUMIFS(Datos!$H$2:$H$2401,Datos!$A$2:$A$2401,2024,Datos!$E$2:$E$2401,$B33)/1000000</f>
        <v>580.59288</v>
      </c>
      <c r="D33" s="18" t="n">
        <f aca="false">SUMIFS(Datos!$H$2:$H$2401,Datos!$A$2:$A$2401,2025,Datos!$E$2:$E$2401,$B33)/1000000</f>
        <v>653.28219</v>
      </c>
      <c r="E33" s="19" t="n">
        <f aca="false">IFERROR(D33/C33-1,0)</f>
        <v>0.125198417865545</v>
      </c>
      <c r="G33" s="25" t="s">
        <v>59</v>
      </c>
      <c r="H33" s="25"/>
      <c r="I33" s="25"/>
      <c r="J33" s="25"/>
    </row>
  </sheetData>
  <mergeCells count="8">
    <mergeCell ref="B1:J1"/>
    <mergeCell ref="B2:J2"/>
    <mergeCell ref="G28:J28"/>
    <mergeCell ref="G29:J29"/>
    <mergeCell ref="G30:J30"/>
    <mergeCell ref="G31:J31"/>
    <mergeCell ref="G32:J32"/>
    <mergeCell ref="G33:J33"/>
  </mergeCells>
  <dataValidations count="1">
    <dataValidation allowBlank="false" errorStyle="stop" operator="between" showDropDown="false" showErrorMessage="false" showInputMessage="false" sqref="C4" type="list">
      <formula1>"Todas,Bogotá,Antioquia,Valle del Cauca,Caribe,Eje Cafetero"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26" t="s">
        <v>60</v>
      </c>
      <c r="B1" s="26" t="s">
        <v>16</v>
      </c>
      <c r="C1" s="26" t="s">
        <v>34</v>
      </c>
      <c r="D1" s="26" t="s">
        <v>20</v>
      </c>
      <c r="E1" s="26" t="s">
        <v>48</v>
      </c>
      <c r="F1" s="26" t="s">
        <v>61</v>
      </c>
      <c r="G1" s="26" t="s">
        <v>62</v>
      </c>
      <c r="H1" s="26" t="s">
        <v>63</v>
      </c>
    </row>
    <row r="2" customFormat="false" ht="15" hidden="false" customHeight="false" outlineLevel="0" collapsed="false">
      <c r="A2" s="27" t="n">
        <v>2024</v>
      </c>
      <c r="B2" s="27" t="n">
        <v>1</v>
      </c>
      <c r="C2" s="27" t="s">
        <v>38</v>
      </c>
      <c r="D2" s="27" t="s">
        <v>22</v>
      </c>
      <c r="E2" s="27" t="s">
        <v>50</v>
      </c>
      <c r="F2" s="28" t="n">
        <v>8447</v>
      </c>
      <c r="G2" s="29" t="n">
        <v>2570</v>
      </c>
      <c r="H2" s="29" t="n">
        <f aca="false">F2*G2</f>
        <v>21708790</v>
      </c>
    </row>
    <row r="3" customFormat="false" ht="15" hidden="false" customHeight="false" outlineLevel="0" collapsed="false">
      <c r="A3" s="27" t="n">
        <v>2024</v>
      </c>
      <c r="B3" s="27" t="n">
        <v>1</v>
      </c>
      <c r="C3" s="27" t="s">
        <v>38</v>
      </c>
      <c r="D3" s="27" t="s">
        <v>22</v>
      </c>
      <c r="E3" s="27" t="s">
        <v>52</v>
      </c>
      <c r="F3" s="28" t="n">
        <v>5395</v>
      </c>
      <c r="G3" s="29" t="n">
        <v>2620</v>
      </c>
      <c r="H3" s="29" t="n">
        <f aca="false">F3*G3</f>
        <v>14134900</v>
      </c>
    </row>
    <row r="4" customFormat="false" ht="15" hidden="false" customHeight="false" outlineLevel="0" collapsed="false">
      <c r="A4" s="27" t="n">
        <v>2024</v>
      </c>
      <c r="B4" s="27" t="n">
        <v>1</v>
      </c>
      <c r="C4" s="27" t="s">
        <v>38</v>
      </c>
      <c r="D4" s="27" t="s">
        <v>22</v>
      </c>
      <c r="E4" s="27" t="s">
        <v>54</v>
      </c>
      <c r="F4" s="28" t="n">
        <v>3754</v>
      </c>
      <c r="G4" s="29" t="n">
        <v>2570</v>
      </c>
      <c r="H4" s="29" t="n">
        <f aca="false">F4*G4</f>
        <v>9647780</v>
      </c>
    </row>
    <row r="5" customFormat="false" ht="15" hidden="false" customHeight="false" outlineLevel="0" collapsed="false">
      <c r="A5" s="27" t="n">
        <v>2024</v>
      </c>
      <c r="B5" s="27" t="n">
        <v>1</v>
      </c>
      <c r="C5" s="27" t="s">
        <v>38</v>
      </c>
      <c r="D5" s="27" t="s">
        <v>22</v>
      </c>
      <c r="E5" s="27" t="s">
        <v>56</v>
      </c>
      <c r="F5" s="28" t="n">
        <v>4972</v>
      </c>
      <c r="G5" s="29" t="n">
        <v>2590</v>
      </c>
      <c r="H5" s="29" t="n">
        <f aca="false">F5*G5</f>
        <v>12877480</v>
      </c>
    </row>
    <row r="6" customFormat="false" ht="15" hidden="false" customHeight="false" outlineLevel="0" collapsed="false">
      <c r="A6" s="27" t="n">
        <v>2024</v>
      </c>
      <c r="B6" s="27" t="n">
        <v>1</v>
      </c>
      <c r="C6" s="27" t="s">
        <v>38</v>
      </c>
      <c r="D6" s="27" t="s">
        <v>22</v>
      </c>
      <c r="E6" s="27" t="s">
        <v>58</v>
      </c>
      <c r="F6" s="28" t="n">
        <v>3377</v>
      </c>
      <c r="G6" s="29" t="n">
        <v>2580</v>
      </c>
      <c r="H6" s="29" t="n">
        <f aca="false">F6*G6</f>
        <v>8712660</v>
      </c>
    </row>
    <row r="7" customFormat="false" ht="15" hidden="false" customHeight="false" outlineLevel="0" collapsed="false">
      <c r="A7" s="27" t="n">
        <v>2024</v>
      </c>
      <c r="B7" s="27" t="n">
        <v>1</v>
      </c>
      <c r="C7" s="27" t="s">
        <v>38</v>
      </c>
      <c r="D7" s="27" t="s">
        <v>24</v>
      </c>
      <c r="E7" s="27" t="s">
        <v>50</v>
      </c>
      <c r="F7" s="28" t="n">
        <v>4690</v>
      </c>
      <c r="G7" s="29" t="n">
        <v>2440</v>
      </c>
      <c r="H7" s="29" t="n">
        <f aca="false">F7*G7</f>
        <v>11443600</v>
      </c>
    </row>
    <row r="8" customFormat="false" ht="15" hidden="false" customHeight="false" outlineLevel="0" collapsed="false">
      <c r="A8" s="27" t="n">
        <v>2024</v>
      </c>
      <c r="B8" s="27" t="n">
        <v>1</v>
      </c>
      <c r="C8" s="27" t="s">
        <v>38</v>
      </c>
      <c r="D8" s="27" t="s">
        <v>24</v>
      </c>
      <c r="E8" s="27" t="s">
        <v>52</v>
      </c>
      <c r="F8" s="28" t="n">
        <v>2817</v>
      </c>
      <c r="G8" s="29" t="n">
        <v>2450</v>
      </c>
      <c r="H8" s="29" t="n">
        <f aca="false">F8*G8</f>
        <v>6901650</v>
      </c>
    </row>
    <row r="9" customFormat="false" ht="15" hidden="false" customHeight="false" outlineLevel="0" collapsed="false">
      <c r="A9" s="27" t="n">
        <v>2024</v>
      </c>
      <c r="B9" s="27" t="n">
        <v>1</v>
      </c>
      <c r="C9" s="27" t="s">
        <v>38</v>
      </c>
      <c r="D9" s="27" t="s">
        <v>24</v>
      </c>
      <c r="E9" s="27" t="s">
        <v>54</v>
      </c>
      <c r="F9" s="28" t="n">
        <v>2299</v>
      </c>
      <c r="G9" s="29" t="n">
        <v>2400</v>
      </c>
      <c r="H9" s="29" t="n">
        <f aca="false">F9*G9</f>
        <v>5517600</v>
      </c>
    </row>
    <row r="10" customFormat="false" ht="15" hidden="false" customHeight="false" outlineLevel="0" collapsed="false">
      <c r="A10" s="27" t="n">
        <v>2024</v>
      </c>
      <c r="B10" s="27" t="n">
        <v>1</v>
      </c>
      <c r="C10" s="27" t="s">
        <v>38</v>
      </c>
      <c r="D10" s="27" t="s">
        <v>24</v>
      </c>
      <c r="E10" s="27" t="s">
        <v>56</v>
      </c>
      <c r="F10" s="28" t="n">
        <v>2717</v>
      </c>
      <c r="G10" s="29" t="n">
        <v>2390</v>
      </c>
      <c r="H10" s="29" t="n">
        <f aca="false">F10*G10</f>
        <v>6493630</v>
      </c>
    </row>
    <row r="11" customFormat="false" ht="15" hidden="false" customHeight="false" outlineLevel="0" collapsed="false">
      <c r="A11" s="27" t="n">
        <v>2024</v>
      </c>
      <c r="B11" s="27" t="n">
        <v>1</v>
      </c>
      <c r="C11" s="27" t="s">
        <v>38</v>
      </c>
      <c r="D11" s="27" t="s">
        <v>24</v>
      </c>
      <c r="E11" s="27" t="s">
        <v>58</v>
      </c>
      <c r="F11" s="28" t="n">
        <v>1905</v>
      </c>
      <c r="G11" s="29" t="n">
        <v>2420</v>
      </c>
      <c r="H11" s="29" t="n">
        <f aca="false">F11*G11</f>
        <v>4610100</v>
      </c>
    </row>
    <row r="12" customFormat="false" ht="15" hidden="false" customHeight="false" outlineLevel="0" collapsed="false">
      <c r="A12" s="27" t="n">
        <v>2024</v>
      </c>
      <c r="B12" s="27" t="n">
        <v>1</v>
      </c>
      <c r="C12" s="27" t="s">
        <v>38</v>
      </c>
      <c r="D12" s="27" t="s">
        <v>26</v>
      </c>
      <c r="E12" s="27" t="s">
        <v>50</v>
      </c>
      <c r="F12" s="28" t="n">
        <v>2143</v>
      </c>
      <c r="G12" s="29" t="n">
        <v>2890</v>
      </c>
      <c r="H12" s="29" t="n">
        <f aca="false">F12*G12</f>
        <v>6193270</v>
      </c>
    </row>
    <row r="13" customFormat="false" ht="15" hidden="false" customHeight="false" outlineLevel="0" collapsed="false">
      <c r="A13" s="27" t="n">
        <v>2024</v>
      </c>
      <c r="B13" s="27" t="n">
        <v>1</v>
      </c>
      <c r="C13" s="27" t="s">
        <v>38</v>
      </c>
      <c r="D13" s="27" t="s">
        <v>26</v>
      </c>
      <c r="E13" s="27" t="s">
        <v>52</v>
      </c>
      <c r="F13" s="28" t="n">
        <v>1435</v>
      </c>
      <c r="G13" s="29" t="n">
        <v>2910</v>
      </c>
      <c r="H13" s="29" t="n">
        <f aca="false">F13*G13</f>
        <v>4175850</v>
      </c>
    </row>
    <row r="14" customFormat="false" ht="15" hidden="false" customHeight="false" outlineLevel="0" collapsed="false">
      <c r="A14" s="27" t="n">
        <v>2024</v>
      </c>
      <c r="B14" s="27" t="n">
        <v>1</v>
      </c>
      <c r="C14" s="27" t="s">
        <v>38</v>
      </c>
      <c r="D14" s="27" t="s">
        <v>26</v>
      </c>
      <c r="E14" s="27" t="s">
        <v>54</v>
      </c>
      <c r="F14" s="28" t="n">
        <v>1058</v>
      </c>
      <c r="G14" s="29" t="n">
        <v>2900</v>
      </c>
      <c r="H14" s="29" t="n">
        <f aca="false">F14*G14</f>
        <v>3068200</v>
      </c>
    </row>
    <row r="15" customFormat="false" ht="15" hidden="false" customHeight="false" outlineLevel="0" collapsed="false">
      <c r="A15" s="27" t="n">
        <v>2024</v>
      </c>
      <c r="B15" s="27" t="n">
        <v>1</v>
      </c>
      <c r="C15" s="27" t="s">
        <v>38</v>
      </c>
      <c r="D15" s="27" t="s">
        <v>26</v>
      </c>
      <c r="E15" s="27" t="s">
        <v>56</v>
      </c>
      <c r="F15" s="28" t="n">
        <v>1319</v>
      </c>
      <c r="G15" s="29" t="n">
        <v>2920</v>
      </c>
      <c r="H15" s="29" t="n">
        <f aca="false">F15*G15</f>
        <v>3851480</v>
      </c>
    </row>
    <row r="16" customFormat="false" ht="15" hidden="false" customHeight="false" outlineLevel="0" collapsed="false">
      <c r="A16" s="27" t="n">
        <v>2024</v>
      </c>
      <c r="B16" s="27" t="n">
        <v>1</v>
      </c>
      <c r="C16" s="27" t="s">
        <v>38</v>
      </c>
      <c r="D16" s="27" t="s">
        <v>26</v>
      </c>
      <c r="E16" s="27" t="s">
        <v>58</v>
      </c>
      <c r="F16" s="28" t="n">
        <v>897</v>
      </c>
      <c r="G16" s="29" t="n">
        <v>2920</v>
      </c>
      <c r="H16" s="29" t="n">
        <f aca="false">F16*G16</f>
        <v>2619240</v>
      </c>
    </row>
    <row r="17" customFormat="false" ht="15" hidden="false" customHeight="false" outlineLevel="0" collapsed="false">
      <c r="A17" s="27" t="n">
        <v>2024</v>
      </c>
      <c r="B17" s="27" t="n">
        <v>1</v>
      </c>
      <c r="C17" s="27" t="s">
        <v>38</v>
      </c>
      <c r="D17" s="27" t="s">
        <v>28</v>
      </c>
      <c r="E17" s="27" t="s">
        <v>50</v>
      </c>
      <c r="F17" s="28" t="n">
        <v>921</v>
      </c>
      <c r="G17" s="29" t="n">
        <v>2720</v>
      </c>
      <c r="H17" s="29" t="n">
        <f aca="false">F17*G17</f>
        <v>2505120</v>
      </c>
    </row>
    <row r="18" customFormat="false" ht="15" hidden="false" customHeight="false" outlineLevel="0" collapsed="false">
      <c r="A18" s="27" t="n">
        <v>2024</v>
      </c>
      <c r="B18" s="27" t="n">
        <v>1</v>
      </c>
      <c r="C18" s="27" t="s">
        <v>38</v>
      </c>
      <c r="D18" s="27" t="s">
        <v>28</v>
      </c>
      <c r="E18" s="27" t="s">
        <v>52</v>
      </c>
      <c r="F18" s="28" t="n">
        <v>507</v>
      </c>
      <c r="G18" s="29" t="n">
        <v>2710</v>
      </c>
      <c r="H18" s="29" t="n">
        <f aca="false">F18*G18</f>
        <v>1373970</v>
      </c>
    </row>
    <row r="19" customFormat="false" ht="15" hidden="false" customHeight="false" outlineLevel="0" collapsed="false">
      <c r="A19" s="27" t="n">
        <v>2024</v>
      </c>
      <c r="B19" s="27" t="n">
        <v>1</v>
      </c>
      <c r="C19" s="27" t="s">
        <v>38</v>
      </c>
      <c r="D19" s="27" t="s">
        <v>28</v>
      </c>
      <c r="E19" s="27" t="s">
        <v>54</v>
      </c>
      <c r="F19" s="28" t="n">
        <v>429</v>
      </c>
      <c r="G19" s="29" t="n">
        <v>2760</v>
      </c>
      <c r="H19" s="29" t="n">
        <f aca="false">F19*G19</f>
        <v>1184040</v>
      </c>
    </row>
    <row r="20" customFormat="false" ht="15" hidden="false" customHeight="false" outlineLevel="0" collapsed="false">
      <c r="A20" s="27" t="n">
        <v>2024</v>
      </c>
      <c r="B20" s="27" t="n">
        <v>1</v>
      </c>
      <c r="C20" s="27" t="s">
        <v>38</v>
      </c>
      <c r="D20" s="27" t="s">
        <v>28</v>
      </c>
      <c r="E20" s="27" t="s">
        <v>56</v>
      </c>
      <c r="F20" s="28" t="n">
        <v>491</v>
      </c>
      <c r="G20" s="29" t="n">
        <v>2710</v>
      </c>
      <c r="H20" s="29" t="n">
        <f aca="false">F20*G20</f>
        <v>1330610</v>
      </c>
    </row>
    <row r="21" customFormat="false" ht="15" hidden="false" customHeight="false" outlineLevel="0" collapsed="false">
      <c r="A21" s="27" t="n">
        <v>2024</v>
      </c>
      <c r="B21" s="27" t="n">
        <v>1</v>
      </c>
      <c r="C21" s="27" t="s">
        <v>38</v>
      </c>
      <c r="D21" s="27" t="s">
        <v>28</v>
      </c>
      <c r="E21" s="27" t="s">
        <v>58</v>
      </c>
      <c r="F21" s="28" t="n">
        <v>324</v>
      </c>
      <c r="G21" s="29" t="n">
        <v>2750</v>
      </c>
      <c r="H21" s="29" t="n">
        <f aca="false">F21*G21</f>
        <v>891000</v>
      </c>
    </row>
    <row r="22" customFormat="false" ht="15" hidden="false" customHeight="false" outlineLevel="0" collapsed="false">
      <c r="A22" s="27" t="n">
        <v>2024</v>
      </c>
      <c r="B22" s="27" t="n">
        <v>1</v>
      </c>
      <c r="C22" s="27" t="s">
        <v>40</v>
      </c>
      <c r="D22" s="27" t="s">
        <v>22</v>
      </c>
      <c r="E22" s="27" t="s">
        <v>50</v>
      </c>
      <c r="F22" s="28" t="n">
        <v>5350</v>
      </c>
      <c r="G22" s="29" t="n">
        <v>2310</v>
      </c>
      <c r="H22" s="29" t="n">
        <f aca="false">F22*G22</f>
        <v>12358500</v>
      </c>
    </row>
    <row r="23" customFormat="false" ht="15" hidden="false" customHeight="false" outlineLevel="0" collapsed="false">
      <c r="A23" s="27" t="n">
        <v>2024</v>
      </c>
      <c r="B23" s="27" t="n">
        <v>1</v>
      </c>
      <c r="C23" s="27" t="s">
        <v>40</v>
      </c>
      <c r="D23" s="27" t="s">
        <v>22</v>
      </c>
      <c r="E23" s="27" t="s">
        <v>52</v>
      </c>
      <c r="F23" s="28" t="n">
        <v>3117</v>
      </c>
      <c r="G23" s="29" t="n">
        <v>2310</v>
      </c>
      <c r="H23" s="29" t="n">
        <f aca="false">F23*G23</f>
        <v>7200270</v>
      </c>
    </row>
    <row r="24" customFormat="false" ht="15" hidden="false" customHeight="false" outlineLevel="0" collapsed="false">
      <c r="A24" s="27" t="n">
        <v>2024</v>
      </c>
      <c r="B24" s="27" t="n">
        <v>1</v>
      </c>
      <c r="C24" s="27" t="s">
        <v>40</v>
      </c>
      <c r="D24" s="27" t="s">
        <v>22</v>
      </c>
      <c r="E24" s="27" t="s">
        <v>54</v>
      </c>
      <c r="F24" s="28" t="n">
        <v>2594</v>
      </c>
      <c r="G24" s="29" t="n">
        <v>2310</v>
      </c>
      <c r="H24" s="29" t="n">
        <f aca="false">F24*G24</f>
        <v>5992140</v>
      </c>
    </row>
    <row r="25" customFormat="false" ht="15" hidden="false" customHeight="false" outlineLevel="0" collapsed="false">
      <c r="A25" s="27" t="n">
        <v>2024</v>
      </c>
      <c r="B25" s="27" t="n">
        <v>1</v>
      </c>
      <c r="C25" s="27" t="s">
        <v>40</v>
      </c>
      <c r="D25" s="27" t="s">
        <v>22</v>
      </c>
      <c r="E25" s="27" t="s">
        <v>56</v>
      </c>
      <c r="F25" s="28" t="n">
        <v>3196</v>
      </c>
      <c r="G25" s="29" t="n">
        <v>2310</v>
      </c>
      <c r="H25" s="29" t="n">
        <f aca="false">F25*G25</f>
        <v>7382760</v>
      </c>
    </row>
    <row r="26" customFormat="false" ht="15" hidden="false" customHeight="false" outlineLevel="0" collapsed="false">
      <c r="A26" s="27" t="n">
        <v>2024</v>
      </c>
      <c r="B26" s="27" t="n">
        <v>1</v>
      </c>
      <c r="C26" s="27" t="s">
        <v>40</v>
      </c>
      <c r="D26" s="27" t="s">
        <v>22</v>
      </c>
      <c r="E26" s="27" t="s">
        <v>58</v>
      </c>
      <c r="F26" s="28" t="n">
        <v>2167</v>
      </c>
      <c r="G26" s="29" t="n">
        <v>2300</v>
      </c>
      <c r="H26" s="29" t="n">
        <f aca="false">F26*G26</f>
        <v>4984100</v>
      </c>
    </row>
    <row r="27" customFormat="false" ht="15" hidden="false" customHeight="false" outlineLevel="0" collapsed="false">
      <c r="A27" s="27" t="n">
        <v>2024</v>
      </c>
      <c r="B27" s="27" t="n">
        <v>1</v>
      </c>
      <c r="C27" s="27" t="s">
        <v>40</v>
      </c>
      <c r="D27" s="27" t="s">
        <v>24</v>
      </c>
      <c r="E27" s="27" t="s">
        <v>50</v>
      </c>
      <c r="F27" s="28" t="n">
        <v>2826</v>
      </c>
      <c r="G27" s="29" t="n">
        <v>2150</v>
      </c>
      <c r="H27" s="29" t="n">
        <f aca="false">F27*G27</f>
        <v>6075900</v>
      </c>
    </row>
    <row r="28" customFormat="false" ht="15" hidden="false" customHeight="false" outlineLevel="0" collapsed="false">
      <c r="A28" s="27" t="n">
        <v>2024</v>
      </c>
      <c r="B28" s="27" t="n">
        <v>1</v>
      </c>
      <c r="C28" s="27" t="s">
        <v>40</v>
      </c>
      <c r="D28" s="27" t="s">
        <v>24</v>
      </c>
      <c r="E28" s="27" t="s">
        <v>52</v>
      </c>
      <c r="F28" s="28" t="n">
        <v>1614</v>
      </c>
      <c r="G28" s="29" t="n">
        <v>2130</v>
      </c>
      <c r="H28" s="29" t="n">
        <f aca="false">F28*G28</f>
        <v>3437820</v>
      </c>
    </row>
    <row r="29" customFormat="false" ht="15" hidden="false" customHeight="false" outlineLevel="0" collapsed="false">
      <c r="A29" s="27" t="n">
        <v>2024</v>
      </c>
      <c r="B29" s="27" t="n">
        <v>1</v>
      </c>
      <c r="C29" s="27" t="s">
        <v>40</v>
      </c>
      <c r="D29" s="27" t="s">
        <v>24</v>
      </c>
      <c r="E29" s="27" t="s">
        <v>54</v>
      </c>
      <c r="F29" s="28" t="n">
        <v>1360</v>
      </c>
      <c r="G29" s="29" t="n">
        <v>2130</v>
      </c>
      <c r="H29" s="29" t="n">
        <f aca="false">F29*G29</f>
        <v>2896800</v>
      </c>
    </row>
    <row r="30" customFormat="false" ht="15" hidden="false" customHeight="false" outlineLevel="0" collapsed="false">
      <c r="A30" s="27" t="n">
        <v>2024</v>
      </c>
      <c r="B30" s="27" t="n">
        <v>1</v>
      </c>
      <c r="C30" s="27" t="s">
        <v>40</v>
      </c>
      <c r="D30" s="27" t="s">
        <v>24</v>
      </c>
      <c r="E30" s="27" t="s">
        <v>56</v>
      </c>
      <c r="F30" s="28" t="n">
        <v>1631</v>
      </c>
      <c r="G30" s="29" t="n">
        <v>2170</v>
      </c>
      <c r="H30" s="29" t="n">
        <f aca="false">F30*G30</f>
        <v>3539270</v>
      </c>
    </row>
    <row r="31" customFormat="false" ht="15" hidden="false" customHeight="false" outlineLevel="0" collapsed="false">
      <c r="A31" s="27" t="n">
        <v>2024</v>
      </c>
      <c r="B31" s="27" t="n">
        <v>1</v>
      </c>
      <c r="C31" s="27" t="s">
        <v>40</v>
      </c>
      <c r="D31" s="27" t="s">
        <v>24</v>
      </c>
      <c r="E31" s="27" t="s">
        <v>58</v>
      </c>
      <c r="F31" s="28" t="n">
        <v>1083</v>
      </c>
      <c r="G31" s="29" t="n">
        <v>2160</v>
      </c>
      <c r="H31" s="29" t="n">
        <f aca="false">F31*G31</f>
        <v>2339280</v>
      </c>
    </row>
    <row r="32" customFormat="false" ht="15" hidden="false" customHeight="false" outlineLevel="0" collapsed="false">
      <c r="A32" s="27" t="n">
        <v>2024</v>
      </c>
      <c r="B32" s="27" t="n">
        <v>1</v>
      </c>
      <c r="C32" s="27" t="s">
        <v>40</v>
      </c>
      <c r="D32" s="27" t="s">
        <v>26</v>
      </c>
      <c r="E32" s="27" t="s">
        <v>50</v>
      </c>
      <c r="F32" s="28" t="n">
        <v>1228</v>
      </c>
      <c r="G32" s="29" t="n">
        <v>2570</v>
      </c>
      <c r="H32" s="29" t="n">
        <f aca="false">F32*G32</f>
        <v>3155960</v>
      </c>
    </row>
    <row r="33" customFormat="false" ht="15" hidden="false" customHeight="false" outlineLevel="0" collapsed="false">
      <c r="A33" s="27" t="n">
        <v>2024</v>
      </c>
      <c r="B33" s="27" t="n">
        <v>1</v>
      </c>
      <c r="C33" s="27" t="s">
        <v>40</v>
      </c>
      <c r="D33" s="27" t="s">
        <v>26</v>
      </c>
      <c r="E33" s="27" t="s">
        <v>52</v>
      </c>
      <c r="F33" s="28" t="n">
        <v>845</v>
      </c>
      <c r="G33" s="29" t="n">
        <v>2590</v>
      </c>
      <c r="H33" s="29" t="n">
        <f aca="false">F33*G33</f>
        <v>2188550</v>
      </c>
    </row>
    <row r="34" customFormat="false" ht="15" hidden="false" customHeight="false" outlineLevel="0" collapsed="false">
      <c r="A34" s="27" t="n">
        <v>2024</v>
      </c>
      <c r="B34" s="27" t="n">
        <v>1</v>
      </c>
      <c r="C34" s="27" t="s">
        <v>40</v>
      </c>
      <c r="D34" s="27" t="s">
        <v>26</v>
      </c>
      <c r="E34" s="27" t="s">
        <v>54</v>
      </c>
      <c r="F34" s="28" t="n">
        <v>694</v>
      </c>
      <c r="G34" s="29" t="n">
        <v>2600</v>
      </c>
      <c r="H34" s="29" t="n">
        <f aca="false">F34*G34</f>
        <v>1804400</v>
      </c>
    </row>
    <row r="35" customFormat="false" ht="15" hidden="false" customHeight="false" outlineLevel="0" collapsed="false">
      <c r="A35" s="27" t="n">
        <v>2024</v>
      </c>
      <c r="B35" s="27" t="n">
        <v>1</v>
      </c>
      <c r="C35" s="27" t="s">
        <v>40</v>
      </c>
      <c r="D35" s="27" t="s">
        <v>26</v>
      </c>
      <c r="E35" s="27" t="s">
        <v>56</v>
      </c>
      <c r="F35" s="28" t="n">
        <v>782</v>
      </c>
      <c r="G35" s="29" t="n">
        <v>2560</v>
      </c>
      <c r="H35" s="29" t="n">
        <f aca="false">F35*G35</f>
        <v>2001920</v>
      </c>
    </row>
    <row r="36" customFormat="false" ht="15" hidden="false" customHeight="false" outlineLevel="0" collapsed="false">
      <c r="A36" s="27" t="n">
        <v>2024</v>
      </c>
      <c r="B36" s="27" t="n">
        <v>1</v>
      </c>
      <c r="C36" s="27" t="s">
        <v>40</v>
      </c>
      <c r="D36" s="27" t="s">
        <v>26</v>
      </c>
      <c r="E36" s="27" t="s">
        <v>58</v>
      </c>
      <c r="F36" s="28" t="n">
        <v>568</v>
      </c>
      <c r="G36" s="29" t="n">
        <v>2570</v>
      </c>
      <c r="H36" s="29" t="n">
        <f aca="false">F36*G36</f>
        <v>1459760</v>
      </c>
    </row>
    <row r="37" customFormat="false" ht="15" hidden="false" customHeight="false" outlineLevel="0" collapsed="false">
      <c r="A37" s="27" t="n">
        <v>2024</v>
      </c>
      <c r="B37" s="27" t="n">
        <v>1</v>
      </c>
      <c r="C37" s="27" t="s">
        <v>40</v>
      </c>
      <c r="D37" s="27" t="s">
        <v>28</v>
      </c>
      <c r="E37" s="27" t="s">
        <v>50</v>
      </c>
      <c r="F37" s="28" t="n">
        <v>483</v>
      </c>
      <c r="G37" s="29" t="n">
        <v>2390</v>
      </c>
      <c r="H37" s="29" t="n">
        <f aca="false">F37*G37</f>
        <v>1154370</v>
      </c>
    </row>
    <row r="38" customFormat="false" ht="15" hidden="false" customHeight="false" outlineLevel="0" collapsed="false">
      <c r="A38" s="27" t="n">
        <v>2024</v>
      </c>
      <c r="B38" s="27" t="n">
        <v>1</v>
      </c>
      <c r="C38" s="27" t="s">
        <v>40</v>
      </c>
      <c r="D38" s="27" t="s">
        <v>28</v>
      </c>
      <c r="E38" s="27" t="s">
        <v>52</v>
      </c>
      <c r="F38" s="28" t="n">
        <v>308</v>
      </c>
      <c r="G38" s="29" t="n">
        <v>2430</v>
      </c>
      <c r="H38" s="29" t="n">
        <f aca="false">F38*G38</f>
        <v>748440</v>
      </c>
    </row>
    <row r="39" customFormat="false" ht="15" hidden="false" customHeight="false" outlineLevel="0" collapsed="false">
      <c r="A39" s="27" t="n">
        <v>2024</v>
      </c>
      <c r="B39" s="27" t="n">
        <v>1</v>
      </c>
      <c r="C39" s="27" t="s">
        <v>40</v>
      </c>
      <c r="D39" s="27" t="s">
        <v>28</v>
      </c>
      <c r="E39" s="27" t="s">
        <v>54</v>
      </c>
      <c r="F39" s="28" t="n">
        <v>260</v>
      </c>
      <c r="G39" s="29" t="n">
        <v>2430</v>
      </c>
      <c r="H39" s="29" t="n">
        <f aca="false">F39*G39</f>
        <v>631800</v>
      </c>
    </row>
    <row r="40" customFormat="false" ht="15" hidden="false" customHeight="false" outlineLevel="0" collapsed="false">
      <c r="A40" s="27" t="n">
        <v>2024</v>
      </c>
      <c r="B40" s="27" t="n">
        <v>1</v>
      </c>
      <c r="C40" s="27" t="s">
        <v>40</v>
      </c>
      <c r="D40" s="27" t="s">
        <v>28</v>
      </c>
      <c r="E40" s="27" t="s">
        <v>56</v>
      </c>
      <c r="F40" s="28" t="n">
        <v>300</v>
      </c>
      <c r="G40" s="29" t="n">
        <v>2420</v>
      </c>
      <c r="H40" s="29" t="n">
        <f aca="false">F40*G40</f>
        <v>726000</v>
      </c>
    </row>
    <row r="41" customFormat="false" ht="15" hidden="false" customHeight="false" outlineLevel="0" collapsed="false">
      <c r="A41" s="27" t="n">
        <v>2024</v>
      </c>
      <c r="B41" s="27" t="n">
        <v>1</v>
      </c>
      <c r="C41" s="27" t="s">
        <v>40</v>
      </c>
      <c r="D41" s="27" t="s">
        <v>28</v>
      </c>
      <c r="E41" s="27" t="s">
        <v>58</v>
      </c>
      <c r="F41" s="28" t="n">
        <v>216</v>
      </c>
      <c r="G41" s="29" t="n">
        <v>2410</v>
      </c>
      <c r="H41" s="29" t="n">
        <f aca="false">F41*G41</f>
        <v>520560</v>
      </c>
    </row>
    <row r="42" customFormat="false" ht="15" hidden="false" customHeight="false" outlineLevel="0" collapsed="false">
      <c r="A42" s="27" t="n">
        <v>2024</v>
      </c>
      <c r="B42" s="27" t="n">
        <v>1</v>
      </c>
      <c r="C42" s="27" t="s">
        <v>42</v>
      </c>
      <c r="D42" s="27" t="s">
        <v>22</v>
      </c>
      <c r="E42" s="27" t="s">
        <v>50</v>
      </c>
      <c r="F42" s="28" t="n">
        <v>4681</v>
      </c>
      <c r="G42" s="29" t="n">
        <v>2090</v>
      </c>
      <c r="H42" s="29" t="n">
        <f aca="false">F42*G42</f>
        <v>9783290</v>
      </c>
    </row>
    <row r="43" customFormat="false" ht="15" hidden="false" customHeight="false" outlineLevel="0" collapsed="false">
      <c r="A43" s="27" t="n">
        <v>2024</v>
      </c>
      <c r="B43" s="27" t="n">
        <v>1</v>
      </c>
      <c r="C43" s="27" t="s">
        <v>42</v>
      </c>
      <c r="D43" s="27" t="s">
        <v>22</v>
      </c>
      <c r="E43" s="27" t="s">
        <v>52</v>
      </c>
      <c r="F43" s="28" t="n">
        <v>2808</v>
      </c>
      <c r="G43" s="29" t="n">
        <v>2090</v>
      </c>
      <c r="H43" s="29" t="n">
        <f aca="false">F43*G43</f>
        <v>5868720</v>
      </c>
    </row>
    <row r="44" customFormat="false" ht="15" hidden="false" customHeight="false" outlineLevel="0" collapsed="false">
      <c r="A44" s="27" t="n">
        <v>2024</v>
      </c>
      <c r="B44" s="27" t="n">
        <v>1</v>
      </c>
      <c r="C44" s="27" t="s">
        <v>42</v>
      </c>
      <c r="D44" s="27" t="s">
        <v>22</v>
      </c>
      <c r="E44" s="27" t="s">
        <v>54</v>
      </c>
      <c r="F44" s="28" t="n">
        <v>2151</v>
      </c>
      <c r="G44" s="29" t="n">
        <v>2110</v>
      </c>
      <c r="H44" s="29" t="n">
        <f aca="false">F44*G44</f>
        <v>4538610</v>
      </c>
    </row>
    <row r="45" customFormat="false" ht="15" hidden="false" customHeight="false" outlineLevel="0" collapsed="false">
      <c r="A45" s="27" t="n">
        <v>2024</v>
      </c>
      <c r="B45" s="27" t="n">
        <v>1</v>
      </c>
      <c r="C45" s="27" t="s">
        <v>42</v>
      </c>
      <c r="D45" s="27" t="s">
        <v>22</v>
      </c>
      <c r="E45" s="27" t="s">
        <v>56</v>
      </c>
      <c r="F45" s="28" t="n">
        <v>2653</v>
      </c>
      <c r="G45" s="29" t="n">
        <v>2100</v>
      </c>
      <c r="H45" s="29" t="n">
        <f aca="false">F45*G45</f>
        <v>5571300</v>
      </c>
    </row>
    <row r="46" customFormat="false" ht="15" hidden="false" customHeight="false" outlineLevel="0" collapsed="false">
      <c r="A46" s="27" t="n">
        <v>2024</v>
      </c>
      <c r="B46" s="27" t="n">
        <v>1</v>
      </c>
      <c r="C46" s="27" t="s">
        <v>42</v>
      </c>
      <c r="D46" s="27" t="s">
        <v>22</v>
      </c>
      <c r="E46" s="27" t="s">
        <v>58</v>
      </c>
      <c r="F46" s="28" t="n">
        <v>1904</v>
      </c>
      <c r="G46" s="29" t="n">
        <v>2110</v>
      </c>
      <c r="H46" s="29" t="n">
        <f aca="false">F46*G46</f>
        <v>4017440</v>
      </c>
    </row>
    <row r="47" customFormat="false" ht="15" hidden="false" customHeight="false" outlineLevel="0" collapsed="false">
      <c r="A47" s="27" t="n">
        <v>2024</v>
      </c>
      <c r="B47" s="27" t="n">
        <v>1</v>
      </c>
      <c r="C47" s="27" t="s">
        <v>42</v>
      </c>
      <c r="D47" s="27" t="s">
        <v>24</v>
      </c>
      <c r="E47" s="27" t="s">
        <v>50</v>
      </c>
      <c r="F47" s="28" t="n">
        <v>2553</v>
      </c>
      <c r="G47" s="29" t="n">
        <v>1950</v>
      </c>
      <c r="H47" s="29" t="n">
        <f aca="false">F47*G47</f>
        <v>4978350</v>
      </c>
    </row>
    <row r="48" customFormat="false" ht="15" hidden="false" customHeight="false" outlineLevel="0" collapsed="false">
      <c r="A48" s="27" t="n">
        <v>2024</v>
      </c>
      <c r="B48" s="27" t="n">
        <v>1</v>
      </c>
      <c r="C48" s="27" t="s">
        <v>42</v>
      </c>
      <c r="D48" s="27" t="s">
        <v>24</v>
      </c>
      <c r="E48" s="27" t="s">
        <v>52</v>
      </c>
      <c r="F48" s="28" t="n">
        <v>1512</v>
      </c>
      <c r="G48" s="29" t="n">
        <v>1950</v>
      </c>
      <c r="H48" s="29" t="n">
        <f aca="false">F48*G48</f>
        <v>2948400</v>
      </c>
    </row>
    <row r="49" customFormat="false" ht="15" hidden="false" customHeight="false" outlineLevel="0" collapsed="false">
      <c r="A49" s="27" t="n">
        <v>2024</v>
      </c>
      <c r="B49" s="27" t="n">
        <v>1</v>
      </c>
      <c r="C49" s="27" t="s">
        <v>42</v>
      </c>
      <c r="D49" s="27" t="s">
        <v>24</v>
      </c>
      <c r="E49" s="27" t="s">
        <v>54</v>
      </c>
      <c r="F49" s="28" t="n">
        <v>1131</v>
      </c>
      <c r="G49" s="29" t="n">
        <v>1920</v>
      </c>
      <c r="H49" s="29" t="n">
        <f aca="false">F49*G49</f>
        <v>2171520</v>
      </c>
    </row>
    <row r="50" customFormat="false" ht="15" hidden="false" customHeight="false" outlineLevel="0" collapsed="false">
      <c r="A50" s="27" t="n">
        <v>2024</v>
      </c>
      <c r="B50" s="27" t="n">
        <v>1</v>
      </c>
      <c r="C50" s="27" t="s">
        <v>42</v>
      </c>
      <c r="D50" s="27" t="s">
        <v>24</v>
      </c>
      <c r="E50" s="27" t="s">
        <v>56</v>
      </c>
      <c r="F50" s="28" t="n">
        <v>1370</v>
      </c>
      <c r="G50" s="29" t="n">
        <v>1930</v>
      </c>
      <c r="H50" s="29" t="n">
        <f aca="false">F50*G50</f>
        <v>2644100</v>
      </c>
    </row>
    <row r="51" customFormat="false" ht="15" hidden="false" customHeight="false" outlineLevel="0" collapsed="false">
      <c r="A51" s="27" t="n">
        <v>2024</v>
      </c>
      <c r="B51" s="27" t="n">
        <v>1</v>
      </c>
      <c r="C51" s="27" t="s">
        <v>42</v>
      </c>
      <c r="D51" s="27" t="s">
        <v>24</v>
      </c>
      <c r="E51" s="27" t="s">
        <v>58</v>
      </c>
      <c r="F51" s="28" t="n">
        <v>1024</v>
      </c>
      <c r="G51" s="29" t="n">
        <v>1940</v>
      </c>
      <c r="H51" s="29" t="n">
        <f aca="false">F51*G51</f>
        <v>1986560</v>
      </c>
    </row>
    <row r="52" customFormat="false" ht="15" hidden="false" customHeight="false" outlineLevel="0" collapsed="false">
      <c r="A52" s="27" t="n">
        <v>2024</v>
      </c>
      <c r="B52" s="27" t="n">
        <v>1</v>
      </c>
      <c r="C52" s="27" t="s">
        <v>42</v>
      </c>
      <c r="D52" s="27" t="s">
        <v>26</v>
      </c>
      <c r="E52" s="27" t="s">
        <v>50</v>
      </c>
      <c r="F52" s="28" t="n">
        <v>1167</v>
      </c>
      <c r="G52" s="29" t="n">
        <v>2380</v>
      </c>
      <c r="H52" s="29" t="n">
        <f aca="false">F52*G52</f>
        <v>2777460</v>
      </c>
    </row>
    <row r="53" customFormat="false" ht="15" hidden="false" customHeight="false" outlineLevel="0" collapsed="false">
      <c r="A53" s="27" t="n">
        <v>2024</v>
      </c>
      <c r="B53" s="27" t="n">
        <v>1</v>
      </c>
      <c r="C53" s="27" t="s">
        <v>42</v>
      </c>
      <c r="D53" s="27" t="s">
        <v>26</v>
      </c>
      <c r="E53" s="27" t="s">
        <v>52</v>
      </c>
      <c r="F53" s="28" t="n">
        <v>730</v>
      </c>
      <c r="G53" s="29" t="n">
        <v>2370</v>
      </c>
      <c r="H53" s="29" t="n">
        <f aca="false">F53*G53</f>
        <v>1730100</v>
      </c>
    </row>
    <row r="54" customFormat="false" ht="15" hidden="false" customHeight="false" outlineLevel="0" collapsed="false">
      <c r="A54" s="27" t="n">
        <v>2024</v>
      </c>
      <c r="B54" s="27" t="n">
        <v>1</v>
      </c>
      <c r="C54" s="27" t="s">
        <v>42</v>
      </c>
      <c r="D54" s="27" t="s">
        <v>26</v>
      </c>
      <c r="E54" s="27" t="s">
        <v>54</v>
      </c>
      <c r="F54" s="28" t="n">
        <v>567</v>
      </c>
      <c r="G54" s="29" t="n">
        <v>2350</v>
      </c>
      <c r="H54" s="29" t="n">
        <f aca="false">F54*G54</f>
        <v>1332450</v>
      </c>
    </row>
    <row r="55" customFormat="false" ht="15" hidden="false" customHeight="false" outlineLevel="0" collapsed="false">
      <c r="A55" s="27" t="n">
        <v>2024</v>
      </c>
      <c r="B55" s="27" t="n">
        <v>1</v>
      </c>
      <c r="C55" s="27" t="s">
        <v>42</v>
      </c>
      <c r="D55" s="27" t="s">
        <v>26</v>
      </c>
      <c r="E55" s="27" t="s">
        <v>56</v>
      </c>
      <c r="F55" s="28" t="n">
        <v>673</v>
      </c>
      <c r="G55" s="29" t="n">
        <v>2340</v>
      </c>
      <c r="H55" s="29" t="n">
        <f aca="false">F55*G55</f>
        <v>1574820</v>
      </c>
    </row>
    <row r="56" customFormat="false" ht="15" hidden="false" customHeight="false" outlineLevel="0" collapsed="false">
      <c r="A56" s="27" t="n">
        <v>2024</v>
      </c>
      <c r="B56" s="27" t="n">
        <v>1</v>
      </c>
      <c r="C56" s="27" t="s">
        <v>42</v>
      </c>
      <c r="D56" s="27" t="s">
        <v>26</v>
      </c>
      <c r="E56" s="27" t="s">
        <v>58</v>
      </c>
      <c r="F56" s="28" t="n">
        <v>504</v>
      </c>
      <c r="G56" s="29" t="n">
        <v>2310</v>
      </c>
      <c r="H56" s="29" t="n">
        <f aca="false">F56*G56</f>
        <v>1164240</v>
      </c>
    </row>
    <row r="57" customFormat="false" ht="15" hidden="false" customHeight="false" outlineLevel="0" collapsed="false">
      <c r="A57" s="27" t="n">
        <v>2024</v>
      </c>
      <c r="B57" s="27" t="n">
        <v>1</v>
      </c>
      <c r="C57" s="27" t="s">
        <v>42</v>
      </c>
      <c r="D57" s="27" t="s">
        <v>28</v>
      </c>
      <c r="E57" s="27" t="s">
        <v>50</v>
      </c>
      <c r="F57" s="28" t="n">
        <v>468</v>
      </c>
      <c r="G57" s="29" t="n">
        <v>2210</v>
      </c>
      <c r="H57" s="29" t="n">
        <f aca="false">F57*G57</f>
        <v>1034280</v>
      </c>
    </row>
    <row r="58" customFormat="false" ht="15" hidden="false" customHeight="false" outlineLevel="0" collapsed="false">
      <c r="A58" s="27" t="n">
        <v>2024</v>
      </c>
      <c r="B58" s="27" t="n">
        <v>1</v>
      </c>
      <c r="C58" s="27" t="s">
        <v>42</v>
      </c>
      <c r="D58" s="27" t="s">
        <v>28</v>
      </c>
      <c r="E58" s="27" t="s">
        <v>52</v>
      </c>
      <c r="F58" s="28" t="n">
        <v>278</v>
      </c>
      <c r="G58" s="29" t="n">
        <v>2170</v>
      </c>
      <c r="H58" s="29" t="n">
        <f aca="false">F58*G58</f>
        <v>603260</v>
      </c>
    </row>
    <row r="59" customFormat="false" ht="15" hidden="false" customHeight="false" outlineLevel="0" collapsed="false">
      <c r="A59" s="27" t="n">
        <v>2024</v>
      </c>
      <c r="B59" s="27" t="n">
        <v>1</v>
      </c>
      <c r="C59" s="27" t="s">
        <v>42</v>
      </c>
      <c r="D59" s="27" t="s">
        <v>28</v>
      </c>
      <c r="E59" s="27" t="s">
        <v>54</v>
      </c>
      <c r="F59" s="28" t="n">
        <v>230</v>
      </c>
      <c r="G59" s="29" t="n">
        <v>2190</v>
      </c>
      <c r="H59" s="29" t="n">
        <f aca="false">F59*G59</f>
        <v>503700</v>
      </c>
    </row>
    <row r="60" customFormat="false" ht="15" hidden="false" customHeight="false" outlineLevel="0" collapsed="false">
      <c r="A60" s="27" t="n">
        <v>2024</v>
      </c>
      <c r="B60" s="27" t="n">
        <v>1</v>
      </c>
      <c r="C60" s="27" t="s">
        <v>42</v>
      </c>
      <c r="D60" s="27" t="s">
        <v>28</v>
      </c>
      <c r="E60" s="27" t="s">
        <v>56</v>
      </c>
      <c r="F60" s="28" t="n">
        <v>275</v>
      </c>
      <c r="G60" s="29" t="n">
        <v>2210</v>
      </c>
      <c r="H60" s="29" t="n">
        <f aca="false">F60*G60</f>
        <v>607750</v>
      </c>
    </row>
    <row r="61" customFormat="false" ht="15" hidden="false" customHeight="false" outlineLevel="0" collapsed="false">
      <c r="A61" s="27" t="n">
        <v>2024</v>
      </c>
      <c r="B61" s="27" t="n">
        <v>1</v>
      </c>
      <c r="C61" s="27" t="s">
        <v>42</v>
      </c>
      <c r="D61" s="27" t="s">
        <v>28</v>
      </c>
      <c r="E61" s="27" t="s">
        <v>58</v>
      </c>
      <c r="F61" s="28" t="n">
        <v>201</v>
      </c>
      <c r="G61" s="29" t="n">
        <v>2200</v>
      </c>
      <c r="H61" s="29" t="n">
        <f aca="false">F61*G61</f>
        <v>442200</v>
      </c>
    </row>
    <row r="62" customFormat="false" ht="15" hidden="false" customHeight="false" outlineLevel="0" collapsed="false">
      <c r="A62" s="27" t="n">
        <v>2024</v>
      </c>
      <c r="B62" s="27" t="n">
        <v>1</v>
      </c>
      <c r="C62" s="27" t="s">
        <v>44</v>
      </c>
      <c r="D62" s="27" t="s">
        <v>22</v>
      </c>
      <c r="E62" s="27" t="s">
        <v>50</v>
      </c>
      <c r="F62" s="28" t="n">
        <v>2368</v>
      </c>
      <c r="G62" s="29" t="n">
        <v>3910</v>
      </c>
      <c r="H62" s="29" t="n">
        <f aca="false">F62*G62</f>
        <v>9258880</v>
      </c>
    </row>
    <row r="63" customFormat="false" ht="15" hidden="false" customHeight="false" outlineLevel="0" collapsed="false">
      <c r="A63" s="27" t="n">
        <v>2024</v>
      </c>
      <c r="B63" s="27" t="n">
        <v>1</v>
      </c>
      <c r="C63" s="27" t="s">
        <v>44</v>
      </c>
      <c r="D63" s="27" t="s">
        <v>22</v>
      </c>
      <c r="E63" s="27" t="s">
        <v>52</v>
      </c>
      <c r="F63" s="28" t="n">
        <v>1577</v>
      </c>
      <c r="G63" s="29" t="n">
        <v>3950</v>
      </c>
      <c r="H63" s="29" t="n">
        <f aca="false">F63*G63</f>
        <v>6229150</v>
      </c>
    </row>
    <row r="64" customFormat="false" ht="15" hidden="false" customHeight="false" outlineLevel="0" collapsed="false">
      <c r="A64" s="27" t="n">
        <v>2024</v>
      </c>
      <c r="B64" s="27" t="n">
        <v>1</v>
      </c>
      <c r="C64" s="27" t="s">
        <v>44</v>
      </c>
      <c r="D64" s="27" t="s">
        <v>22</v>
      </c>
      <c r="E64" s="27" t="s">
        <v>54</v>
      </c>
      <c r="F64" s="28" t="n">
        <v>1300</v>
      </c>
      <c r="G64" s="29" t="n">
        <v>3910</v>
      </c>
      <c r="H64" s="29" t="n">
        <f aca="false">F64*G64</f>
        <v>5083000</v>
      </c>
    </row>
    <row r="65" customFormat="false" ht="15" hidden="false" customHeight="false" outlineLevel="0" collapsed="false">
      <c r="A65" s="27" t="n">
        <v>2024</v>
      </c>
      <c r="B65" s="27" t="n">
        <v>1</v>
      </c>
      <c r="C65" s="27" t="s">
        <v>44</v>
      </c>
      <c r="D65" s="27" t="s">
        <v>22</v>
      </c>
      <c r="E65" s="27" t="s">
        <v>56</v>
      </c>
      <c r="F65" s="28" t="n">
        <v>1590</v>
      </c>
      <c r="G65" s="29" t="n">
        <v>3850</v>
      </c>
      <c r="H65" s="29" t="n">
        <f aca="false">F65*G65</f>
        <v>6121500</v>
      </c>
    </row>
    <row r="66" customFormat="false" ht="15" hidden="false" customHeight="false" outlineLevel="0" collapsed="false">
      <c r="A66" s="27" t="n">
        <v>2024</v>
      </c>
      <c r="B66" s="27" t="n">
        <v>1</v>
      </c>
      <c r="C66" s="27" t="s">
        <v>44</v>
      </c>
      <c r="D66" s="27" t="s">
        <v>22</v>
      </c>
      <c r="E66" s="27" t="s">
        <v>58</v>
      </c>
      <c r="F66" s="28" t="n">
        <v>982</v>
      </c>
      <c r="G66" s="29" t="n">
        <v>3860</v>
      </c>
      <c r="H66" s="29" t="n">
        <f aca="false">F66*G66</f>
        <v>3790520</v>
      </c>
    </row>
    <row r="67" customFormat="false" ht="15" hidden="false" customHeight="false" outlineLevel="0" collapsed="false">
      <c r="A67" s="27" t="n">
        <v>2024</v>
      </c>
      <c r="B67" s="27" t="n">
        <v>1</v>
      </c>
      <c r="C67" s="27" t="s">
        <v>44</v>
      </c>
      <c r="D67" s="27" t="s">
        <v>24</v>
      </c>
      <c r="E67" s="27" t="s">
        <v>50</v>
      </c>
      <c r="F67" s="28" t="n">
        <v>1322</v>
      </c>
      <c r="G67" s="29" t="n">
        <v>3580</v>
      </c>
      <c r="H67" s="29" t="n">
        <f aca="false">F67*G67</f>
        <v>4732760</v>
      </c>
    </row>
    <row r="68" customFormat="false" ht="15" hidden="false" customHeight="false" outlineLevel="0" collapsed="false">
      <c r="A68" s="27" t="n">
        <v>2024</v>
      </c>
      <c r="B68" s="27" t="n">
        <v>1</v>
      </c>
      <c r="C68" s="27" t="s">
        <v>44</v>
      </c>
      <c r="D68" s="27" t="s">
        <v>24</v>
      </c>
      <c r="E68" s="27" t="s">
        <v>52</v>
      </c>
      <c r="F68" s="28" t="n">
        <v>869</v>
      </c>
      <c r="G68" s="29" t="n">
        <v>3620</v>
      </c>
      <c r="H68" s="29" t="n">
        <f aca="false">F68*G68</f>
        <v>3145780</v>
      </c>
    </row>
    <row r="69" customFormat="false" ht="15" hidden="false" customHeight="false" outlineLevel="0" collapsed="false">
      <c r="A69" s="27" t="n">
        <v>2024</v>
      </c>
      <c r="B69" s="27" t="n">
        <v>1</v>
      </c>
      <c r="C69" s="27" t="s">
        <v>44</v>
      </c>
      <c r="D69" s="27" t="s">
        <v>24</v>
      </c>
      <c r="E69" s="27" t="s">
        <v>54</v>
      </c>
      <c r="F69" s="28" t="n">
        <v>624</v>
      </c>
      <c r="G69" s="29" t="n">
        <v>3590</v>
      </c>
      <c r="H69" s="29" t="n">
        <f aca="false">F69*G69</f>
        <v>2240160</v>
      </c>
    </row>
    <row r="70" customFormat="false" ht="15" hidden="false" customHeight="false" outlineLevel="0" collapsed="false">
      <c r="A70" s="27" t="n">
        <v>2024</v>
      </c>
      <c r="B70" s="27" t="n">
        <v>1</v>
      </c>
      <c r="C70" s="27" t="s">
        <v>44</v>
      </c>
      <c r="D70" s="27" t="s">
        <v>24</v>
      </c>
      <c r="E70" s="27" t="s">
        <v>56</v>
      </c>
      <c r="F70" s="28" t="n">
        <v>813</v>
      </c>
      <c r="G70" s="29" t="n">
        <v>3660</v>
      </c>
      <c r="H70" s="29" t="n">
        <f aca="false">F70*G70</f>
        <v>2975580</v>
      </c>
    </row>
    <row r="71" customFormat="false" ht="15" hidden="false" customHeight="false" outlineLevel="0" collapsed="false">
      <c r="A71" s="27" t="n">
        <v>2024</v>
      </c>
      <c r="B71" s="27" t="n">
        <v>1</v>
      </c>
      <c r="C71" s="27" t="s">
        <v>44</v>
      </c>
      <c r="D71" s="27" t="s">
        <v>24</v>
      </c>
      <c r="E71" s="27" t="s">
        <v>58</v>
      </c>
      <c r="F71" s="28" t="n">
        <v>602</v>
      </c>
      <c r="G71" s="29" t="n">
        <v>3730</v>
      </c>
      <c r="H71" s="29" t="n">
        <f aca="false">F71*G71</f>
        <v>2245460</v>
      </c>
    </row>
    <row r="72" customFormat="false" ht="15" hidden="false" customHeight="false" outlineLevel="0" collapsed="false">
      <c r="A72" s="27" t="n">
        <v>2024</v>
      </c>
      <c r="B72" s="27" t="n">
        <v>1</v>
      </c>
      <c r="C72" s="27" t="s">
        <v>44</v>
      </c>
      <c r="D72" s="27" t="s">
        <v>26</v>
      </c>
      <c r="E72" s="27" t="s">
        <v>50</v>
      </c>
      <c r="F72" s="28" t="n">
        <v>662</v>
      </c>
      <c r="G72" s="29" t="n">
        <v>4320</v>
      </c>
      <c r="H72" s="29" t="n">
        <f aca="false">F72*G72</f>
        <v>2859840</v>
      </c>
    </row>
    <row r="73" customFormat="false" ht="15" hidden="false" customHeight="false" outlineLevel="0" collapsed="false">
      <c r="A73" s="27" t="n">
        <v>2024</v>
      </c>
      <c r="B73" s="27" t="n">
        <v>1</v>
      </c>
      <c r="C73" s="27" t="s">
        <v>44</v>
      </c>
      <c r="D73" s="27" t="s">
        <v>26</v>
      </c>
      <c r="E73" s="27" t="s">
        <v>52</v>
      </c>
      <c r="F73" s="28" t="n">
        <v>362</v>
      </c>
      <c r="G73" s="29" t="n">
        <v>4380</v>
      </c>
      <c r="H73" s="29" t="n">
        <f aca="false">F73*G73</f>
        <v>1585560</v>
      </c>
    </row>
    <row r="74" customFormat="false" ht="15" hidden="false" customHeight="false" outlineLevel="0" collapsed="false">
      <c r="A74" s="27" t="n">
        <v>2024</v>
      </c>
      <c r="B74" s="27" t="n">
        <v>1</v>
      </c>
      <c r="C74" s="27" t="s">
        <v>44</v>
      </c>
      <c r="D74" s="27" t="s">
        <v>26</v>
      </c>
      <c r="E74" s="27" t="s">
        <v>54</v>
      </c>
      <c r="F74" s="28" t="n">
        <v>311</v>
      </c>
      <c r="G74" s="29" t="n">
        <v>4350</v>
      </c>
      <c r="H74" s="29" t="n">
        <f aca="false">F74*G74</f>
        <v>1352850</v>
      </c>
    </row>
    <row r="75" customFormat="false" ht="15" hidden="false" customHeight="false" outlineLevel="0" collapsed="false">
      <c r="A75" s="27" t="n">
        <v>2024</v>
      </c>
      <c r="B75" s="27" t="n">
        <v>1</v>
      </c>
      <c r="C75" s="27" t="s">
        <v>44</v>
      </c>
      <c r="D75" s="27" t="s">
        <v>26</v>
      </c>
      <c r="E75" s="27" t="s">
        <v>56</v>
      </c>
      <c r="F75" s="28" t="n">
        <v>374</v>
      </c>
      <c r="G75" s="29" t="n">
        <v>4360</v>
      </c>
      <c r="H75" s="29" t="n">
        <f aca="false">F75*G75</f>
        <v>1630640</v>
      </c>
    </row>
    <row r="76" customFormat="false" ht="15" hidden="false" customHeight="false" outlineLevel="0" collapsed="false">
      <c r="A76" s="27" t="n">
        <v>2024</v>
      </c>
      <c r="B76" s="27" t="n">
        <v>1</v>
      </c>
      <c r="C76" s="27" t="s">
        <v>44</v>
      </c>
      <c r="D76" s="27" t="s">
        <v>26</v>
      </c>
      <c r="E76" s="27" t="s">
        <v>58</v>
      </c>
      <c r="F76" s="28" t="n">
        <v>278</v>
      </c>
      <c r="G76" s="29" t="n">
        <v>4370</v>
      </c>
      <c r="H76" s="29" t="n">
        <f aca="false">F76*G76</f>
        <v>1214860</v>
      </c>
    </row>
    <row r="77" customFormat="false" ht="15" hidden="false" customHeight="false" outlineLevel="0" collapsed="false">
      <c r="A77" s="27" t="n">
        <v>2024</v>
      </c>
      <c r="B77" s="27" t="n">
        <v>1</v>
      </c>
      <c r="C77" s="27" t="s">
        <v>44</v>
      </c>
      <c r="D77" s="27" t="s">
        <v>28</v>
      </c>
      <c r="E77" s="27" t="s">
        <v>50</v>
      </c>
      <c r="F77" s="28" t="n">
        <v>248</v>
      </c>
      <c r="G77" s="29" t="n">
        <v>4050</v>
      </c>
      <c r="H77" s="29" t="n">
        <f aca="false">F77*G77</f>
        <v>1004400</v>
      </c>
    </row>
    <row r="78" customFormat="false" ht="15" hidden="false" customHeight="false" outlineLevel="0" collapsed="false">
      <c r="A78" s="27" t="n">
        <v>2024</v>
      </c>
      <c r="B78" s="27" t="n">
        <v>1</v>
      </c>
      <c r="C78" s="27" t="s">
        <v>44</v>
      </c>
      <c r="D78" s="27" t="s">
        <v>28</v>
      </c>
      <c r="E78" s="27" t="s">
        <v>52</v>
      </c>
      <c r="F78" s="28" t="n">
        <v>143</v>
      </c>
      <c r="G78" s="29" t="n">
        <v>4080</v>
      </c>
      <c r="H78" s="29" t="n">
        <f aca="false">F78*G78</f>
        <v>583440</v>
      </c>
    </row>
    <row r="79" customFormat="false" ht="15" hidden="false" customHeight="false" outlineLevel="0" collapsed="false">
      <c r="A79" s="27" t="n">
        <v>2024</v>
      </c>
      <c r="B79" s="27" t="n">
        <v>1</v>
      </c>
      <c r="C79" s="27" t="s">
        <v>44</v>
      </c>
      <c r="D79" s="27" t="s">
        <v>28</v>
      </c>
      <c r="E79" s="27" t="s">
        <v>54</v>
      </c>
      <c r="F79" s="28" t="n">
        <v>124</v>
      </c>
      <c r="G79" s="29" t="n">
        <v>4170</v>
      </c>
      <c r="H79" s="29" t="n">
        <f aca="false">F79*G79</f>
        <v>517080</v>
      </c>
    </row>
    <row r="80" customFormat="false" ht="15" hidden="false" customHeight="false" outlineLevel="0" collapsed="false">
      <c r="A80" s="27" t="n">
        <v>2024</v>
      </c>
      <c r="B80" s="27" t="n">
        <v>1</v>
      </c>
      <c r="C80" s="27" t="s">
        <v>44</v>
      </c>
      <c r="D80" s="27" t="s">
        <v>28</v>
      </c>
      <c r="E80" s="27" t="s">
        <v>56</v>
      </c>
      <c r="F80" s="28" t="n">
        <v>149</v>
      </c>
      <c r="G80" s="29" t="n">
        <v>4140</v>
      </c>
      <c r="H80" s="29" t="n">
        <f aca="false">F80*G80</f>
        <v>616860</v>
      </c>
    </row>
    <row r="81" customFormat="false" ht="15" hidden="false" customHeight="false" outlineLevel="0" collapsed="false">
      <c r="A81" s="27" t="n">
        <v>2024</v>
      </c>
      <c r="B81" s="27" t="n">
        <v>1</v>
      </c>
      <c r="C81" s="27" t="s">
        <v>44</v>
      </c>
      <c r="D81" s="27" t="s">
        <v>28</v>
      </c>
      <c r="E81" s="27" t="s">
        <v>58</v>
      </c>
      <c r="F81" s="28" t="n">
        <v>99</v>
      </c>
      <c r="G81" s="29" t="n">
        <v>4050</v>
      </c>
      <c r="H81" s="29" t="n">
        <f aca="false">F81*G81</f>
        <v>400950</v>
      </c>
    </row>
    <row r="82" customFormat="false" ht="15" hidden="false" customHeight="false" outlineLevel="0" collapsed="false">
      <c r="A82" s="27" t="n">
        <v>2024</v>
      </c>
      <c r="B82" s="27" t="n">
        <v>1</v>
      </c>
      <c r="C82" s="27" t="s">
        <v>45</v>
      </c>
      <c r="D82" s="27" t="s">
        <v>22</v>
      </c>
      <c r="E82" s="27" t="s">
        <v>50</v>
      </c>
      <c r="F82" s="28" t="n">
        <v>3167</v>
      </c>
      <c r="G82" s="29" t="n">
        <v>2380</v>
      </c>
      <c r="H82" s="29" t="n">
        <f aca="false">F82*G82</f>
        <v>7537460</v>
      </c>
    </row>
    <row r="83" customFormat="false" ht="15" hidden="false" customHeight="false" outlineLevel="0" collapsed="false">
      <c r="A83" s="27" t="n">
        <v>2024</v>
      </c>
      <c r="B83" s="27" t="n">
        <v>1</v>
      </c>
      <c r="C83" s="27" t="s">
        <v>45</v>
      </c>
      <c r="D83" s="27" t="s">
        <v>22</v>
      </c>
      <c r="E83" s="27" t="s">
        <v>52</v>
      </c>
      <c r="F83" s="28" t="n">
        <v>2301</v>
      </c>
      <c r="G83" s="29" t="n">
        <v>2380</v>
      </c>
      <c r="H83" s="29" t="n">
        <f aca="false">F83*G83</f>
        <v>5476380</v>
      </c>
    </row>
    <row r="84" customFormat="false" ht="15" hidden="false" customHeight="false" outlineLevel="0" collapsed="false">
      <c r="A84" s="27" t="n">
        <v>2024</v>
      </c>
      <c r="B84" s="27" t="n">
        <v>1</v>
      </c>
      <c r="C84" s="27" t="s">
        <v>45</v>
      </c>
      <c r="D84" s="27" t="s">
        <v>22</v>
      </c>
      <c r="E84" s="27" t="s">
        <v>54</v>
      </c>
      <c r="F84" s="28" t="n">
        <v>1734</v>
      </c>
      <c r="G84" s="29" t="n">
        <v>2380</v>
      </c>
      <c r="H84" s="29" t="n">
        <f aca="false">F84*G84</f>
        <v>4126920</v>
      </c>
    </row>
    <row r="85" customFormat="false" ht="15" hidden="false" customHeight="false" outlineLevel="0" collapsed="false">
      <c r="A85" s="27" t="n">
        <v>2024</v>
      </c>
      <c r="B85" s="27" t="n">
        <v>1</v>
      </c>
      <c r="C85" s="27" t="s">
        <v>45</v>
      </c>
      <c r="D85" s="27" t="s">
        <v>22</v>
      </c>
      <c r="E85" s="27" t="s">
        <v>56</v>
      </c>
      <c r="F85" s="28" t="n">
        <v>2068</v>
      </c>
      <c r="G85" s="29" t="n">
        <v>2410</v>
      </c>
      <c r="H85" s="29" t="n">
        <f aca="false">F85*G85</f>
        <v>4983880</v>
      </c>
    </row>
    <row r="86" customFormat="false" ht="15" hidden="false" customHeight="false" outlineLevel="0" collapsed="false">
      <c r="A86" s="27" t="n">
        <v>2024</v>
      </c>
      <c r="B86" s="27" t="n">
        <v>1</v>
      </c>
      <c r="C86" s="27" t="s">
        <v>45</v>
      </c>
      <c r="D86" s="27" t="s">
        <v>22</v>
      </c>
      <c r="E86" s="27" t="s">
        <v>58</v>
      </c>
      <c r="F86" s="28" t="n">
        <v>1341</v>
      </c>
      <c r="G86" s="29" t="n">
        <v>2400</v>
      </c>
      <c r="H86" s="29" t="n">
        <f aca="false">F86*G86</f>
        <v>3218400</v>
      </c>
    </row>
    <row r="87" customFormat="false" ht="15" hidden="false" customHeight="false" outlineLevel="0" collapsed="false">
      <c r="A87" s="27" t="n">
        <v>2024</v>
      </c>
      <c r="B87" s="27" t="n">
        <v>1</v>
      </c>
      <c r="C87" s="27" t="s">
        <v>45</v>
      </c>
      <c r="D87" s="27" t="s">
        <v>24</v>
      </c>
      <c r="E87" s="27" t="s">
        <v>50</v>
      </c>
      <c r="F87" s="28" t="n">
        <v>1738</v>
      </c>
      <c r="G87" s="29" t="n">
        <v>2240</v>
      </c>
      <c r="H87" s="29" t="n">
        <f aca="false">F87*G87</f>
        <v>3893120</v>
      </c>
    </row>
    <row r="88" customFormat="false" ht="15" hidden="false" customHeight="false" outlineLevel="0" collapsed="false">
      <c r="A88" s="27" t="n">
        <v>2024</v>
      </c>
      <c r="B88" s="27" t="n">
        <v>1</v>
      </c>
      <c r="C88" s="27" t="s">
        <v>45</v>
      </c>
      <c r="D88" s="27" t="s">
        <v>24</v>
      </c>
      <c r="E88" s="27" t="s">
        <v>52</v>
      </c>
      <c r="F88" s="28" t="n">
        <v>1098</v>
      </c>
      <c r="G88" s="29" t="n">
        <v>2200</v>
      </c>
      <c r="H88" s="29" t="n">
        <f aca="false">F88*G88</f>
        <v>2415600</v>
      </c>
    </row>
    <row r="89" customFormat="false" ht="15" hidden="false" customHeight="false" outlineLevel="0" collapsed="false">
      <c r="A89" s="27" t="n">
        <v>2024</v>
      </c>
      <c r="B89" s="27" t="n">
        <v>1</v>
      </c>
      <c r="C89" s="27" t="s">
        <v>45</v>
      </c>
      <c r="D89" s="27" t="s">
        <v>24</v>
      </c>
      <c r="E89" s="27" t="s">
        <v>54</v>
      </c>
      <c r="F89" s="28" t="n">
        <v>841</v>
      </c>
      <c r="G89" s="29" t="n">
        <v>2240</v>
      </c>
      <c r="H89" s="29" t="n">
        <f aca="false">F89*G89</f>
        <v>1883840</v>
      </c>
    </row>
    <row r="90" customFormat="false" ht="15" hidden="false" customHeight="false" outlineLevel="0" collapsed="false">
      <c r="A90" s="27" t="n">
        <v>2024</v>
      </c>
      <c r="B90" s="27" t="n">
        <v>1</v>
      </c>
      <c r="C90" s="27" t="s">
        <v>45</v>
      </c>
      <c r="D90" s="27" t="s">
        <v>24</v>
      </c>
      <c r="E90" s="27" t="s">
        <v>56</v>
      </c>
      <c r="F90" s="28" t="n">
        <v>1151</v>
      </c>
      <c r="G90" s="29" t="n">
        <v>2240</v>
      </c>
      <c r="H90" s="29" t="n">
        <f aca="false">F90*G90</f>
        <v>2578240</v>
      </c>
    </row>
    <row r="91" customFormat="false" ht="15" hidden="false" customHeight="false" outlineLevel="0" collapsed="false">
      <c r="A91" s="27" t="n">
        <v>2024</v>
      </c>
      <c r="B91" s="27" t="n">
        <v>1</v>
      </c>
      <c r="C91" s="27" t="s">
        <v>45</v>
      </c>
      <c r="D91" s="27" t="s">
        <v>24</v>
      </c>
      <c r="E91" s="27" t="s">
        <v>58</v>
      </c>
      <c r="F91" s="28" t="n">
        <v>726</v>
      </c>
      <c r="G91" s="29" t="n">
        <v>2240</v>
      </c>
      <c r="H91" s="29" t="n">
        <f aca="false">F91*G91</f>
        <v>1626240</v>
      </c>
    </row>
    <row r="92" customFormat="false" ht="15" hidden="false" customHeight="false" outlineLevel="0" collapsed="false">
      <c r="A92" s="27" t="n">
        <v>2024</v>
      </c>
      <c r="B92" s="27" t="n">
        <v>1</v>
      </c>
      <c r="C92" s="27" t="s">
        <v>45</v>
      </c>
      <c r="D92" s="27" t="s">
        <v>26</v>
      </c>
      <c r="E92" s="27" t="s">
        <v>50</v>
      </c>
      <c r="F92" s="28" t="n">
        <v>922</v>
      </c>
      <c r="G92" s="29" t="n">
        <v>2690</v>
      </c>
      <c r="H92" s="29" t="n">
        <f aca="false">F92*G92</f>
        <v>2480180</v>
      </c>
    </row>
    <row r="93" customFormat="false" ht="15" hidden="false" customHeight="false" outlineLevel="0" collapsed="false">
      <c r="A93" s="27" t="n">
        <v>2024</v>
      </c>
      <c r="B93" s="27" t="n">
        <v>1</v>
      </c>
      <c r="C93" s="27" t="s">
        <v>45</v>
      </c>
      <c r="D93" s="27" t="s">
        <v>26</v>
      </c>
      <c r="E93" s="27" t="s">
        <v>52</v>
      </c>
      <c r="F93" s="28" t="n">
        <v>530</v>
      </c>
      <c r="G93" s="29" t="n">
        <v>2720</v>
      </c>
      <c r="H93" s="29" t="n">
        <f aca="false">F93*G93</f>
        <v>1441600</v>
      </c>
    </row>
    <row r="94" customFormat="false" ht="15" hidden="false" customHeight="false" outlineLevel="0" collapsed="false">
      <c r="A94" s="27" t="n">
        <v>2024</v>
      </c>
      <c r="B94" s="27" t="n">
        <v>1</v>
      </c>
      <c r="C94" s="27" t="s">
        <v>45</v>
      </c>
      <c r="D94" s="27" t="s">
        <v>26</v>
      </c>
      <c r="E94" s="27" t="s">
        <v>54</v>
      </c>
      <c r="F94" s="28" t="n">
        <v>442</v>
      </c>
      <c r="G94" s="29" t="n">
        <v>2730</v>
      </c>
      <c r="H94" s="29" t="n">
        <f aca="false">F94*G94</f>
        <v>1206660</v>
      </c>
    </row>
    <row r="95" customFormat="false" ht="15" hidden="false" customHeight="false" outlineLevel="0" collapsed="false">
      <c r="A95" s="27" t="n">
        <v>2024</v>
      </c>
      <c r="B95" s="27" t="n">
        <v>1</v>
      </c>
      <c r="C95" s="27" t="s">
        <v>45</v>
      </c>
      <c r="D95" s="27" t="s">
        <v>26</v>
      </c>
      <c r="E95" s="27" t="s">
        <v>56</v>
      </c>
      <c r="F95" s="28" t="n">
        <v>518</v>
      </c>
      <c r="G95" s="29" t="n">
        <v>2660</v>
      </c>
      <c r="H95" s="29" t="n">
        <f aca="false">F95*G95</f>
        <v>1377880</v>
      </c>
    </row>
    <row r="96" customFormat="false" ht="15" hidden="false" customHeight="false" outlineLevel="0" collapsed="false">
      <c r="A96" s="27" t="n">
        <v>2024</v>
      </c>
      <c r="B96" s="27" t="n">
        <v>1</v>
      </c>
      <c r="C96" s="27" t="s">
        <v>45</v>
      </c>
      <c r="D96" s="27" t="s">
        <v>26</v>
      </c>
      <c r="E96" s="27" t="s">
        <v>58</v>
      </c>
      <c r="F96" s="28" t="n">
        <v>327</v>
      </c>
      <c r="G96" s="29" t="n">
        <v>2730</v>
      </c>
      <c r="H96" s="29" t="n">
        <f aca="false">F96*G96</f>
        <v>892710</v>
      </c>
    </row>
    <row r="97" customFormat="false" ht="15" hidden="false" customHeight="false" outlineLevel="0" collapsed="false">
      <c r="A97" s="27" t="n">
        <v>2024</v>
      </c>
      <c r="B97" s="27" t="n">
        <v>1</v>
      </c>
      <c r="C97" s="27" t="s">
        <v>45</v>
      </c>
      <c r="D97" s="27" t="s">
        <v>28</v>
      </c>
      <c r="E97" s="27" t="s">
        <v>50</v>
      </c>
      <c r="F97" s="28" t="n">
        <v>361</v>
      </c>
      <c r="G97" s="29" t="n">
        <v>2520</v>
      </c>
      <c r="H97" s="29" t="n">
        <f aca="false">F97*G97</f>
        <v>909720</v>
      </c>
    </row>
    <row r="98" customFormat="false" ht="15" hidden="false" customHeight="false" outlineLevel="0" collapsed="false">
      <c r="A98" s="27" t="n">
        <v>2024</v>
      </c>
      <c r="B98" s="27" t="n">
        <v>1</v>
      </c>
      <c r="C98" s="27" t="s">
        <v>45</v>
      </c>
      <c r="D98" s="27" t="s">
        <v>28</v>
      </c>
      <c r="E98" s="27" t="s">
        <v>52</v>
      </c>
      <c r="F98" s="28" t="n">
        <v>204</v>
      </c>
      <c r="G98" s="29" t="n">
        <v>2560</v>
      </c>
      <c r="H98" s="29" t="n">
        <f aca="false">F98*G98</f>
        <v>522240</v>
      </c>
    </row>
    <row r="99" customFormat="false" ht="15" hidden="false" customHeight="false" outlineLevel="0" collapsed="false">
      <c r="A99" s="27" t="n">
        <v>2024</v>
      </c>
      <c r="B99" s="27" t="n">
        <v>1</v>
      </c>
      <c r="C99" s="27" t="s">
        <v>45</v>
      </c>
      <c r="D99" s="27" t="s">
        <v>28</v>
      </c>
      <c r="E99" s="27" t="s">
        <v>54</v>
      </c>
      <c r="F99" s="28" t="n">
        <v>157</v>
      </c>
      <c r="G99" s="29" t="n">
        <v>2500</v>
      </c>
      <c r="H99" s="29" t="n">
        <f aca="false">F99*G99</f>
        <v>392500</v>
      </c>
    </row>
    <row r="100" customFormat="false" ht="15" hidden="false" customHeight="false" outlineLevel="0" collapsed="false">
      <c r="A100" s="27" t="n">
        <v>2024</v>
      </c>
      <c r="B100" s="27" t="n">
        <v>1</v>
      </c>
      <c r="C100" s="27" t="s">
        <v>45</v>
      </c>
      <c r="D100" s="27" t="s">
        <v>28</v>
      </c>
      <c r="E100" s="27" t="s">
        <v>56</v>
      </c>
      <c r="F100" s="28" t="n">
        <v>204</v>
      </c>
      <c r="G100" s="29" t="n">
        <v>2510</v>
      </c>
      <c r="H100" s="29" t="n">
        <f aca="false">F100*G100</f>
        <v>512040</v>
      </c>
    </row>
    <row r="101" customFormat="false" ht="15" hidden="false" customHeight="false" outlineLevel="0" collapsed="false">
      <c r="A101" s="27" t="n">
        <v>2024</v>
      </c>
      <c r="B101" s="27" t="n">
        <v>1</v>
      </c>
      <c r="C101" s="27" t="s">
        <v>45</v>
      </c>
      <c r="D101" s="27" t="s">
        <v>28</v>
      </c>
      <c r="E101" s="27" t="s">
        <v>58</v>
      </c>
      <c r="F101" s="28" t="n">
        <v>135</v>
      </c>
      <c r="G101" s="29" t="n">
        <v>2520</v>
      </c>
      <c r="H101" s="29" t="n">
        <f aca="false">F101*G101</f>
        <v>340200</v>
      </c>
    </row>
    <row r="102" customFormat="false" ht="15" hidden="false" customHeight="false" outlineLevel="0" collapsed="false">
      <c r="A102" s="27" t="n">
        <v>2024</v>
      </c>
      <c r="B102" s="27" t="n">
        <v>2</v>
      </c>
      <c r="C102" s="27" t="s">
        <v>38</v>
      </c>
      <c r="D102" s="27" t="s">
        <v>22</v>
      </c>
      <c r="E102" s="27" t="s">
        <v>50</v>
      </c>
      <c r="F102" s="28" t="n">
        <v>7445</v>
      </c>
      <c r="G102" s="29" t="n">
        <v>2640</v>
      </c>
      <c r="H102" s="29" t="n">
        <f aca="false">F102*G102</f>
        <v>19654800</v>
      </c>
    </row>
    <row r="103" customFormat="false" ht="15" hidden="false" customHeight="false" outlineLevel="0" collapsed="false">
      <c r="A103" s="27" t="n">
        <v>2024</v>
      </c>
      <c r="B103" s="27" t="n">
        <v>2</v>
      </c>
      <c r="C103" s="27" t="s">
        <v>38</v>
      </c>
      <c r="D103" s="27" t="s">
        <v>22</v>
      </c>
      <c r="E103" s="27" t="s">
        <v>52</v>
      </c>
      <c r="F103" s="28" t="n">
        <v>4597</v>
      </c>
      <c r="G103" s="29" t="n">
        <v>2620</v>
      </c>
      <c r="H103" s="29" t="n">
        <f aca="false">F103*G103</f>
        <v>12044140</v>
      </c>
    </row>
    <row r="104" customFormat="false" ht="15" hidden="false" customHeight="false" outlineLevel="0" collapsed="false">
      <c r="A104" s="27" t="n">
        <v>2024</v>
      </c>
      <c r="B104" s="27" t="n">
        <v>2</v>
      </c>
      <c r="C104" s="27" t="s">
        <v>38</v>
      </c>
      <c r="D104" s="27" t="s">
        <v>22</v>
      </c>
      <c r="E104" s="27" t="s">
        <v>54</v>
      </c>
      <c r="F104" s="28" t="n">
        <v>3286</v>
      </c>
      <c r="G104" s="29" t="n">
        <v>2600</v>
      </c>
      <c r="H104" s="29" t="n">
        <f aca="false">F104*G104</f>
        <v>8543600</v>
      </c>
    </row>
    <row r="105" customFormat="false" ht="15" hidden="false" customHeight="false" outlineLevel="0" collapsed="false">
      <c r="A105" s="27" t="n">
        <v>2024</v>
      </c>
      <c r="B105" s="27" t="n">
        <v>2</v>
      </c>
      <c r="C105" s="27" t="s">
        <v>38</v>
      </c>
      <c r="D105" s="27" t="s">
        <v>22</v>
      </c>
      <c r="E105" s="27" t="s">
        <v>56</v>
      </c>
      <c r="F105" s="28" t="n">
        <v>4164</v>
      </c>
      <c r="G105" s="29" t="n">
        <v>2570</v>
      </c>
      <c r="H105" s="29" t="n">
        <f aca="false">F105*G105</f>
        <v>10701480</v>
      </c>
    </row>
    <row r="106" customFormat="false" ht="15" hidden="false" customHeight="false" outlineLevel="0" collapsed="false">
      <c r="A106" s="27" t="n">
        <v>2024</v>
      </c>
      <c r="B106" s="27" t="n">
        <v>2</v>
      </c>
      <c r="C106" s="27" t="s">
        <v>38</v>
      </c>
      <c r="D106" s="27" t="s">
        <v>22</v>
      </c>
      <c r="E106" s="27" t="s">
        <v>58</v>
      </c>
      <c r="F106" s="28" t="n">
        <v>2844</v>
      </c>
      <c r="G106" s="29" t="n">
        <v>2590</v>
      </c>
      <c r="H106" s="29" t="n">
        <f aca="false">F106*G106</f>
        <v>7365960</v>
      </c>
    </row>
    <row r="107" customFormat="false" ht="15" hidden="false" customHeight="false" outlineLevel="0" collapsed="false">
      <c r="A107" s="27" t="n">
        <v>2024</v>
      </c>
      <c r="B107" s="27" t="n">
        <v>2</v>
      </c>
      <c r="C107" s="27" t="s">
        <v>38</v>
      </c>
      <c r="D107" s="27" t="s">
        <v>24</v>
      </c>
      <c r="E107" s="27" t="s">
        <v>50</v>
      </c>
      <c r="F107" s="28" t="n">
        <v>4135</v>
      </c>
      <c r="G107" s="29" t="n">
        <v>2390</v>
      </c>
      <c r="H107" s="29" t="n">
        <f aca="false">F107*G107</f>
        <v>9882650</v>
      </c>
    </row>
    <row r="108" customFormat="false" ht="15" hidden="false" customHeight="false" outlineLevel="0" collapsed="false">
      <c r="A108" s="27" t="n">
        <v>2024</v>
      </c>
      <c r="B108" s="27" t="n">
        <v>2</v>
      </c>
      <c r="C108" s="27" t="s">
        <v>38</v>
      </c>
      <c r="D108" s="27" t="s">
        <v>24</v>
      </c>
      <c r="E108" s="27" t="s">
        <v>52</v>
      </c>
      <c r="F108" s="28" t="n">
        <v>2475</v>
      </c>
      <c r="G108" s="29" t="n">
        <v>2410</v>
      </c>
      <c r="H108" s="29" t="n">
        <f aca="false">F108*G108</f>
        <v>5964750</v>
      </c>
    </row>
    <row r="109" customFormat="false" ht="15" hidden="false" customHeight="false" outlineLevel="0" collapsed="false">
      <c r="A109" s="27" t="n">
        <v>2024</v>
      </c>
      <c r="B109" s="27" t="n">
        <v>2</v>
      </c>
      <c r="C109" s="27" t="s">
        <v>38</v>
      </c>
      <c r="D109" s="27" t="s">
        <v>24</v>
      </c>
      <c r="E109" s="27" t="s">
        <v>54</v>
      </c>
      <c r="F109" s="28" t="n">
        <v>1944</v>
      </c>
      <c r="G109" s="29" t="n">
        <v>2440</v>
      </c>
      <c r="H109" s="29" t="n">
        <f aca="false">F109*G109</f>
        <v>4743360</v>
      </c>
    </row>
    <row r="110" customFormat="false" ht="15" hidden="false" customHeight="false" outlineLevel="0" collapsed="false">
      <c r="A110" s="27" t="n">
        <v>2024</v>
      </c>
      <c r="B110" s="27" t="n">
        <v>2</v>
      </c>
      <c r="C110" s="27" t="s">
        <v>38</v>
      </c>
      <c r="D110" s="27" t="s">
        <v>24</v>
      </c>
      <c r="E110" s="27" t="s">
        <v>56</v>
      </c>
      <c r="F110" s="28" t="n">
        <v>2411</v>
      </c>
      <c r="G110" s="29" t="n">
        <v>2450</v>
      </c>
      <c r="H110" s="29" t="n">
        <f aca="false">F110*G110</f>
        <v>5906950</v>
      </c>
    </row>
    <row r="111" customFormat="false" ht="15" hidden="false" customHeight="false" outlineLevel="0" collapsed="false">
      <c r="A111" s="27" t="n">
        <v>2024</v>
      </c>
      <c r="B111" s="27" t="n">
        <v>2</v>
      </c>
      <c r="C111" s="27" t="s">
        <v>38</v>
      </c>
      <c r="D111" s="27" t="s">
        <v>24</v>
      </c>
      <c r="E111" s="27" t="s">
        <v>58</v>
      </c>
      <c r="F111" s="28" t="n">
        <v>1594</v>
      </c>
      <c r="G111" s="29" t="n">
        <v>2400</v>
      </c>
      <c r="H111" s="29" t="n">
        <f aca="false">F111*G111</f>
        <v>3825600</v>
      </c>
    </row>
    <row r="112" customFormat="false" ht="15" hidden="false" customHeight="false" outlineLevel="0" collapsed="false">
      <c r="A112" s="27" t="n">
        <v>2024</v>
      </c>
      <c r="B112" s="27" t="n">
        <v>2</v>
      </c>
      <c r="C112" s="27" t="s">
        <v>38</v>
      </c>
      <c r="D112" s="27" t="s">
        <v>26</v>
      </c>
      <c r="E112" s="27" t="s">
        <v>50</v>
      </c>
      <c r="F112" s="28" t="n">
        <v>1882</v>
      </c>
      <c r="G112" s="29" t="n">
        <v>2920</v>
      </c>
      <c r="H112" s="29" t="n">
        <f aca="false">F112*G112</f>
        <v>5495440</v>
      </c>
    </row>
    <row r="113" customFormat="false" ht="15" hidden="false" customHeight="false" outlineLevel="0" collapsed="false">
      <c r="A113" s="27" t="n">
        <v>2024</v>
      </c>
      <c r="B113" s="27" t="n">
        <v>2</v>
      </c>
      <c r="C113" s="27" t="s">
        <v>38</v>
      </c>
      <c r="D113" s="27" t="s">
        <v>26</v>
      </c>
      <c r="E113" s="27" t="s">
        <v>52</v>
      </c>
      <c r="F113" s="28" t="n">
        <v>1200</v>
      </c>
      <c r="G113" s="29" t="n">
        <v>2880</v>
      </c>
      <c r="H113" s="29" t="n">
        <f aca="false">F113*G113</f>
        <v>3456000</v>
      </c>
    </row>
    <row r="114" customFormat="false" ht="15" hidden="false" customHeight="false" outlineLevel="0" collapsed="false">
      <c r="A114" s="27" t="n">
        <v>2024</v>
      </c>
      <c r="B114" s="27" t="n">
        <v>2</v>
      </c>
      <c r="C114" s="27" t="s">
        <v>38</v>
      </c>
      <c r="D114" s="27" t="s">
        <v>26</v>
      </c>
      <c r="E114" s="27" t="s">
        <v>54</v>
      </c>
      <c r="F114" s="28" t="n">
        <v>956</v>
      </c>
      <c r="G114" s="29" t="n">
        <v>2920</v>
      </c>
      <c r="H114" s="29" t="n">
        <f aca="false">F114*G114</f>
        <v>2791520</v>
      </c>
    </row>
    <row r="115" customFormat="false" ht="15" hidden="false" customHeight="false" outlineLevel="0" collapsed="false">
      <c r="A115" s="27" t="n">
        <v>2024</v>
      </c>
      <c r="B115" s="27" t="n">
        <v>2</v>
      </c>
      <c r="C115" s="27" t="s">
        <v>38</v>
      </c>
      <c r="D115" s="27" t="s">
        <v>26</v>
      </c>
      <c r="E115" s="27" t="s">
        <v>56</v>
      </c>
      <c r="F115" s="28" t="n">
        <v>1273</v>
      </c>
      <c r="G115" s="29" t="n">
        <v>2970</v>
      </c>
      <c r="H115" s="29" t="n">
        <f aca="false">F115*G115</f>
        <v>3780810</v>
      </c>
    </row>
    <row r="116" customFormat="false" ht="15" hidden="false" customHeight="false" outlineLevel="0" collapsed="false">
      <c r="A116" s="27" t="n">
        <v>2024</v>
      </c>
      <c r="B116" s="27" t="n">
        <v>2</v>
      </c>
      <c r="C116" s="27" t="s">
        <v>38</v>
      </c>
      <c r="D116" s="27" t="s">
        <v>26</v>
      </c>
      <c r="E116" s="27" t="s">
        <v>58</v>
      </c>
      <c r="F116" s="28" t="n">
        <v>740</v>
      </c>
      <c r="G116" s="29" t="n">
        <v>2900</v>
      </c>
      <c r="H116" s="29" t="n">
        <f aca="false">F116*G116</f>
        <v>2146000</v>
      </c>
    </row>
    <row r="117" customFormat="false" ht="15" hidden="false" customHeight="false" outlineLevel="0" collapsed="false">
      <c r="A117" s="27" t="n">
        <v>2024</v>
      </c>
      <c r="B117" s="27" t="n">
        <v>2</v>
      </c>
      <c r="C117" s="27" t="s">
        <v>38</v>
      </c>
      <c r="D117" s="27" t="s">
        <v>28</v>
      </c>
      <c r="E117" s="27" t="s">
        <v>50</v>
      </c>
      <c r="F117" s="28" t="n">
        <v>679</v>
      </c>
      <c r="G117" s="29" t="n">
        <v>2710</v>
      </c>
      <c r="H117" s="29" t="n">
        <f aca="false">F117*G117</f>
        <v>1840090</v>
      </c>
    </row>
    <row r="118" customFormat="false" ht="15" hidden="false" customHeight="false" outlineLevel="0" collapsed="false">
      <c r="A118" s="27" t="n">
        <v>2024</v>
      </c>
      <c r="B118" s="27" t="n">
        <v>2</v>
      </c>
      <c r="C118" s="27" t="s">
        <v>38</v>
      </c>
      <c r="D118" s="27" t="s">
        <v>28</v>
      </c>
      <c r="E118" s="27" t="s">
        <v>52</v>
      </c>
      <c r="F118" s="28" t="n">
        <v>465</v>
      </c>
      <c r="G118" s="29" t="n">
        <v>2760</v>
      </c>
      <c r="H118" s="29" t="n">
        <f aca="false">F118*G118</f>
        <v>1283400</v>
      </c>
    </row>
    <row r="119" customFormat="false" ht="15" hidden="false" customHeight="false" outlineLevel="0" collapsed="false">
      <c r="A119" s="27" t="n">
        <v>2024</v>
      </c>
      <c r="B119" s="27" t="n">
        <v>2</v>
      </c>
      <c r="C119" s="27" t="s">
        <v>38</v>
      </c>
      <c r="D119" s="27" t="s">
        <v>28</v>
      </c>
      <c r="E119" s="27" t="s">
        <v>54</v>
      </c>
      <c r="F119" s="28" t="n">
        <v>353</v>
      </c>
      <c r="G119" s="29" t="n">
        <v>2710</v>
      </c>
      <c r="H119" s="29" t="n">
        <f aca="false">F119*G119</f>
        <v>956630</v>
      </c>
    </row>
    <row r="120" customFormat="false" ht="15" hidden="false" customHeight="false" outlineLevel="0" collapsed="false">
      <c r="A120" s="27" t="n">
        <v>2024</v>
      </c>
      <c r="B120" s="27" t="n">
        <v>2</v>
      </c>
      <c r="C120" s="27" t="s">
        <v>38</v>
      </c>
      <c r="D120" s="27" t="s">
        <v>28</v>
      </c>
      <c r="E120" s="27" t="s">
        <v>56</v>
      </c>
      <c r="F120" s="28" t="n">
        <v>388</v>
      </c>
      <c r="G120" s="29" t="n">
        <v>2730</v>
      </c>
      <c r="H120" s="29" t="n">
        <f aca="false">F120*G120</f>
        <v>1059240</v>
      </c>
    </row>
    <row r="121" customFormat="false" ht="15" hidden="false" customHeight="false" outlineLevel="0" collapsed="false">
      <c r="A121" s="27" t="n">
        <v>2024</v>
      </c>
      <c r="B121" s="27" t="n">
        <v>2</v>
      </c>
      <c r="C121" s="27" t="s">
        <v>38</v>
      </c>
      <c r="D121" s="27" t="s">
        <v>28</v>
      </c>
      <c r="E121" s="27" t="s">
        <v>58</v>
      </c>
      <c r="F121" s="28" t="n">
        <v>282</v>
      </c>
      <c r="G121" s="29" t="n">
        <v>2720</v>
      </c>
      <c r="H121" s="29" t="n">
        <f aca="false">F121*G121</f>
        <v>767040</v>
      </c>
    </row>
    <row r="122" customFormat="false" ht="15" hidden="false" customHeight="false" outlineLevel="0" collapsed="false">
      <c r="A122" s="27" t="n">
        <v>2024</v>
      </c>
      <c r="B122" s="27" t="n">
        <v>2</v>
      </c>
      <c r="C122" s="27" t="s">
        <v>40</v>
      </c>
      <c r="D122" s="27" t="s">
        <v>22</v>
      </c>
      <c r="E122" s="27" t="s">
        <v>50</v>
      </c>
      <c r="F122" s="28" t="n">
        <v>4340</v>
      </c>
      <c r="G122" s="29" t="n">
        <v>2300</v>
      </c>
      <c r="H122" s="29" t="n">
        <f aca="false">F122*G122</f>
        <v>9982000</v>
      </c>
    </row>
    <row r="123" customFormat="false" ht="15" hidden="false" customHeight="false" outlineLevel="0" collapsed="false">
      <c r="A123" s="27" t="n">
        <v>2024</v>
      </c>
      <c r="B123" s="27" t="n">
        <v>2</v>
      </c>
      <c r="C123" s="27" t="s">
        <v>40</v>
      </c>
      <c r="D123" s="27" t="s">
        <v>22</v>
      </c>
      <c r="E123" s="27" t="s">
        <v>52</v>
      </c>
      <c r="F123" s="28" t="n">
        <v>2588</v>
      </c>
      <c r="G123" s="29" t="n">
        <v>2270</v>
      </c>
      <c r="H123" s="29" t="n">
        <f aca="false">F123*G123</f>
        <v>5874760</v>
      </c>
    </row>
    <row r="124" customFormat="false" ht="15" hidden="false" customHeight="false" outlineLevel="0" collapsed="false">
      <c r="A124" s="27" t="n">
        <v>2024</v>
      </c>
      <c r="B124" s="27" t="n">
        <v>2</v>
      </c>
      <c r="C124" s="27" t="s">
        <v>40</v>
      </c>
      <c r="D124" s="27" t="s">
        <v>22</v>
      </c>
      <c r="E124" s="27" t="s">
        <v>54</v>
      </c>
      <c r="F124" s="28" t="n">
        <v>2511</v>
      </c>
      <c r="G124" s="29" t="n">
        <v>2270</v>
      </c>
      <c r="H124" s="29" t="n">
        <f aca="false">F124*G124</f>
        <v>5699970</v>
      </c>
    </row>
    <row r="125" customFormat="false" ht="15" hidden="false" customHeight="false" outlineLevel="0" collapsed="false">
      <c r="A125" s="27" t="n">
        <v>2024</v>
      </c>
      <c r="B125" s="27" t="n">
        <v>2</v>
      </c>
      <c r="C125" s="27" t="s">
        <v>40</v>
      </c>
      <c r="D125" s="27" t="s">
        <v>22</v>
      </c>
      <c r="E125" s="27" t="s">
        <v>56</v>
      </c>
      <c r="F125" s="28" t="n">
        <v>2547</v>
      </c>
      <c r="G125" s="29" t="n">
        <v>2340</v>
      </c>
      <c r="H125" s="29" t="n">
        <f aca="false">F125*G125</f>
        <v>5959980</v>
      </c>
    </row>
    <row r="126" customFormat="false" ht="15" hidden="false" customHeight="false" outlineLevel="0" collapsed="false">
      <c r="A126" s="27" t="n">
        <v>2024</v>
      </c>
      <c r="B126" s="27" t="n">
        <v>2</v>
      </c>
      <c r="C126" s="27" t="s">
        <v>40</v>
      </c>
      <c r="D126" s="27" t="s">
        <v>22</v>
      </c>
      <c r="E126" s="27" t="s">
        <v>58</v>
      </c>
      <c r="F126" s="28" t="n">
        <v>2112</v>
      </c>
      <c r="G126" s="29" t="n">
        <v>2270</v>
      </c>
      <c r="H126" s="29" t="n">
        <f aca="false">F126*G126</f>
        <v>4794240</v>
      </c>
    </row>
    <row r="127" customFormat="false" ht="15" hidden="false" customHeight="false" outlineLevel="0" collapsed="false">
      <c r="A127" s="27" t="n">
        <v>2024</v>
      </c>
      <c r="B127" s="27" t="n">
        <v>2</v>
      </c>
      <c r="C127" s="27" t="s">
        <v>40</v>
      </c>
      <c r="D127" s="27" t="s">
        <v>24</v>
      </c>
      <c r="E127" s="27" t="s">
        <v>50</v>
      </c>
      <c r="F127" s="28" t="n">
        <v>2406</v>
      </c>
      <c r="G127" s="29" t="n">
        <v>2150</v>
      </c>
      <c r="H127" s="29" t="n">
        <f aca="false">F127*G127</f>
        <v>5172900</v>
      </c>
    </row>
    <row r="128" customFormat="false" ht="15" hidden="false" customHeight="false" outlineLevel="0" collapsed="false">
      <c r="A128" s="27" t="n">
        <v>2024</v>
      </c>
      <c r="B128" s="27" t="n">
        <v>2</v>
      </c>
      <c r="C128" s="27" t="s">
        <v>40</v>
      </c>
      <c r="D128" s="27" t="s">
        <v>24</v>
      </c>
      <c r="E128" s="27" t="s">
        <v>52</v>
      </c>
      <c r="F128" s="28" t="n">
        <v>1664</v>
      </c>
      <c r="G128" s="29" t="n">
        <v>2120</v>
      </c>
      <c r="H128" s="29" t="n">
        <f aca="false">F128*G128</f>
        <v>3527680</v>
      </c>
    </row>
    <row r="129" customFormat="false" ht="15" hidden="false" customHeight="false" outlineLevel="0" collapsed="false">
      <c r="A129" s="27" t="n">
        <v>2024</v>
      </c>
      <c r="B129" s="27" t="n">
        <v>2</v>
      </c>
      <c r="C129" s="27" t="s">
        <v>40</v>
      </c>
      <c r="D129" s="27" t="s">
        <v>24</v>
      </c>
      <c r="E129" s="27" t="s">
        <v>54</v>
      </c>
      <c r="F129" s="28" t="n">
        <v>1211</v>
      </c>
      <c r="G129" s="29" t="n">
        <v>2160</v>
      </c>
      <c r="H129" s="29" t="n">
        <f aca="false">F129*G129</f>
        <v>2615760</v>
      </c>
    </row>
    <row r="130" customFormat="false" ht="15" hidden="false" customHeight="false" outlineLevel="0" collapsed="false">
      <c r="A130" s="27" t="n">
        <v>2024</v>
      </c>
      <c r="B130" s="27" t="n">
        <v>2</v>
      </c>
      <c r="C130" s="27" t="s">
        <v>40</v>
      </c>
      <c r="D130" s="27" t="s">
        <v>24</v>
      </c>
      <c r="E130" s="27" t="s">
        <v>56</v>
      </c>
      <c r="F130" s="28" t="n">
        <v>1487</v>
      </c>
      <c r="G130" s="29" t="n">
        <v>2130</v>
      </c>
      <c r="H130" s="29" t="n">
        <f aca="false">F130*G130</f>
        <v>3167310</v>
      </c>
    </row>
    <row r="131" customFormat="false" ht="15" hidden="false" customHeight="false" outlineLevel="0" collapsed="false">
      <c r="A131" s="27" t="n">
        <v>2024</v>
      </c>
      <c r="B131" s="27" t="n">
        <v>2</v>
      </c>
      <c r="C131" s="27" t="s">
        <v>40</v>
      </c>
      <c r="D131" s="27" t="s">
        <v>24</v>
      </c>
      <c r="E131" s="27" t="s">
        <v>58</v>
      </c>
      <c r="F131" s="28" t="n">
        <v>989</v>
      </c>
      <c r="G131" s="29" t="n">
        <v>2110</v>
      </c>
      <c r="H131" s="29" t="n">
        <f aca="false">F131*G131</f>
        <v>2086790</v>
      </c>
    </row>
    <row r="132" customFormat="false" ht="15" hidden="false" customHeight="false" outlineLevel="0" collapsed="false">
      <c r="A132" s="27" t="n">
        <v>2024</v>
      </c>
      <c r="B132" s="27" t="n">
        <v>2</v>
      </c>
      <c r="C132" s="27" t="s">
        <v>40</v>
      </c>
      <c r="D132" s="27" t="s">
        <v>26</v>
      </c>
      <c r="E132" s="27" t="s">
        <v>50</v>
      </c>
      <c r="F132" s="28" t="n">
        <v>1166</v>
      </c>
      <c r="G132" s="29" t="n">
        <v>2570</v>
      </c>
      <c r="H132" s="29" t="n">
        <f aca="false">F132*G132</f>
        <v>2996620</v>
      </c>
    </row>
    <row r="133" customFormat="false" ht="15" hidden="false" customHeight="false" outlineLevel="0" collapsed="false">
      <c r="A133" s="27" t="n">
        <v>2024</v>
      </c>
      <c r="B133" s="27" t="n">
        <v>2</v>
      </c>
      <c r="C133" s="27" t="s">
        <v>40</v>
      </c>
      <c r="D133" s="27" t="s">
        <v>26</v>
      </c>
      <c r="E133" s="27" t="s">
        <v>52</v>
      </c>
      <c r="F133" s="28" t="n">
        <v>746</v>
      </c>
      <c r="G133" s="29" t="n">
        <v>2560</v>
      </c>
      <c r="H133" s="29" t="n">
        <f aca="false">F133*G133</f>
        <v>1909760</v>
      </c>
    </row>
    <row r="134" customFormat="false" ht="15" hidden="false" customHeight="false" outlineLevel="0" collapsed="false">
      <c r="A134" s="27" t="n">
        <v>2024</v>
      </c>
      <c r="B134" s="27" t="n">
        <v>2</v>
      </c>
      <c r="C134" s="27" t="s">
        <v>40</v>
      </c>
      <c r="D134" s="27" t="s">
        <v>26</v>
      </c>
      <c r="E134" s="27" t="s">
        <v>54</v>
      </c>
      <c r="F134" s="28" t="n">
        <v>604</v>
      </c>
      <c r="G134" s="29" t="n">
        <v>2600</v>
      </c>
      <c r="H134" s="29" t="n">
        <f aca="false">F134*G134</f>
        <v>1570400</v>
      </c>
    </row>
    <row r="135" customFormat="false" ht="15" hidden="false" customHeight="false" outlineLevel="0" collapsed="false">
      <c r="A135" s="27" t="n">
        <v>2024</v>
      </c>
      <c r="B135" s="27" t="n">
        <v>2</v>
      </c>
      <c r="C135" s="27" t="s">
        <v>40</v>
      </c>
      <c r="D135" s="27" t="s">
        <v>26</v>
      </c>
      <c r="E135" s="27" t="s">
        <v>56</v>
      </c>
      <c r="F135" s="28" t="n">
        <v>706</v>
      </c>
      <c r="G135" s="29" t="n">
        <v>2590</v>
      </c>
      <c r="H135" s="29" t="n">
        <f aca="false">F135*G135</f>
        <v>1828540</v>
      </c>
    </row>
    <row r="136" customFormat="false" ht="15" hidden="false" customHeight="false" outlineLevel="0" collapsed="false">
      <c r="A136" s="27" t="n">
        <v>2024</v>
      </c>
      <c r="B136" s="27" t="n">
        <v>2</v>
      </c>
      <c r="C136" s="27" t="s">
        <v>40</v>
      </c>
      <c r="D136" s="27" t="s">
        <v>26</v>
      </c>
      <c r="E136" s="27" t="s">
        <v>58</v>
      </c>
      <c r="F136" s="28" t="n">
        <v>481</v>
      </c>
      <c r="G136" s="29" t="n">
        <v>2580</v>
      </c>
      <c r="H136" s="29" t="n">
        <f aca="false">F136*G136</f>
        <v>1240980</v>
      </c>
    </row>
    <row r="137" customFormat="false" ht="15" hidden="false" customHeight="false" outlineLevel="0" collapsed="false">
      <c r="A137" s="27" t="n">
        <v>2024</v>
      </c>
      <c r="B137" s="27" t="n">
        <v>2</v>
      </c>
      <c r="C137" s="27" t="s">
        <v>40</v>
      </c>
      <c r="D137" s="27" t="s">
        <v>28</v>
      </c>
      <c r="E137" s="27" t="s">
        <v>50</v>
      </c>
      <c r="F137" s="28" t="n">
        <v>438</v>
      </c>
      <c r="G137" s="29" t="n">
        <v>2420</v>
      </c>
      <c r="H137" s="29" t="n">
        <f aca="false">F137*G137</f>
        <v>1059960</v>
      </c>
    </row>
    <row r="138" customFormat="false" ht="15" hidden="false" customHeight="false" outlineLevel="0" collapsed="false">
      <c r="A138" s="27" t="n">
        <v>2024</v>
      </c>
      <c r="B138" s="27" t="n">
        <v>2</v>
      </c>
      <c r="C138" s="27" t="s">
        <v>40</v>
      </c>
      <c r="D138" s="27" t="s">
        <v>28</v>
      </c>
      <c r="E138" s="27" t="s">
        <v>52</v>
      </c>
      <c r="F138" s="28" t="n">
        <v>282</v>
      </c>
      <c r="G138" s="29" t="n">
        <v>2470</v>
      </c>
      <c r="H138" s="29" t="n">
        <f aca="false">F138*G138</f>
        <v>696540</v>
      </c>
    </row>
    <row r="139" customFormat="false" ht="15" hidden="false" customHeight="false" outlineLevel="0" collapsed="false">
      <c r="A139" s="27" t="n">
        <v>2024</v>
      </c>
      <c r="B139" s="27" t="n">
        <v>2</v>
      </c>
      <c r="C139" s="27" t="s">
        <v>40</v>
      </c>
      <c r="D139" s="27" t="s">
        <v>28</v>
      </c>
      <c r="E139" s="27" t="s">
        <v>54</v>
      </c>
      <c r="F139" s="28" t="n">
        <v>245</v>
      </c>
      <c r="G139" s="29" t="n">
        <v>2420</v>
      </c>
      <c r="H139" s="29" t="n">
        <f aca="false">F139*G139</f>
        <v>592900</v>
      </c>
    </row>
    <row r="140" customFormat="false" ht="15" hidden="false" customHeight="false" outlineLevel="0" collapsed="false">
      <c r="A140" s="27" t="n">
        <v>2024</v>
      </c>
      <c r="B140" s="27" t="n">
        <v>2</v>
      </c>
      <c r="C140" s="27" t="s">
        <v>40</v>
      </c>
      <c r="D140" s="27" t="s">
        <v>28</v>
      </c>
      <c r="E140" s="27" t="s">
        <v>56</v>
      </c>
      <c r="F140" s="28" t="n">
        <v>259</v>
      </c>
      <c r="G140" s="29" t="n">
        <v>2390</v>
      </c>
      <c r="H140" s="29" t="n">
        <f aca="false">F140*G140</f>
        <v>619010</v>
      </c>
    </row>
    <row r="141" customFormat="false" ht="15" hidden="false" customHeight="false" outlineLevel="0" collapsed="false">
      <c r="A141" s="27" t="n">
        <v>2024</v>
      </c>
      <c r="B141" s="27" t="n">
        <v>2</v>
      </c>
      <c r="C141" s="27" t="s">
        <v>40</v>
      </c>
      <c r="D141" s="27" t="s">
        <v>28</v>
      </c>
      <c r="E141" s="27" t="s">
        <v>58</v>
      </c>
      <c r="F141" s="28" t="n">
        <v>195</v>
      </c>
      <c r="G141" s="29" t="n">
        <v>2420</v>
      </c>
      <c r="H141" s="29" t="n">
        <f aca="false">F141*G141</f>
        <v>471900</v>
      </c>
    </row>
    <row r="142" customFormat="false" ht="15" hidden="false" customHeight="false" outlineLevel="0" collapsed="false">
      <c r="A142" s="27" t="n">
        <v>2024</v>
      </c>
      <c r="B142" s="27" t="n">
        <v>2</v>
      </c>
      <c r="C142" s="27" t="s">
        <v>42</v>
      </c>
      <c r="D142" s="27" t="s">
        <v>22</v>
      </c>
      <c r="E142" s="27" t="s">
        <v>50</v>
      </c>
      <c r="F142" s="28" t="n">
        <v>4124</v>
      </c>
      <c r="G142" s="29" t="n">
        <v>2060</v>
      </c>
      <c r="H142" s="29" t="n">
        <f aca="false">F142*G142</f>
        <v>8495440</v>
      </c>
    </row>
    <row r="143" customFormat="false" ht="15" hidden="false" customHeight="false" outlineLevel="0" collapsed="false">
      <c r="A143" s="27" t="n">
        <v>2024</v>
      </c>
      <c r="B143" s="27" t="n">
        <v>2</v>
      </c>
      <c r="C143" s="27" t="s">
        <v>42</v>
      </c>
      <c r="D143" s="27" t="s">
        <v>22</v>
      </c>
      <c r="E143" s="27" t="s">
        <v>52</v>
      </c>
      <c r="F143" s="28" t="n">
        <v>2634</v>
      </c>
      <c r="G143" s="29" t="n">
        <v>2110</v>
      </c>
      <c r="H143" s="29" t="n">
        <f aca="false">F143*G143</f>
        <v>5557740</v>
      </c>
    </row>
    <row r="144" customFormat="false" ht="15" hidden="false" customHeight="false" outlineLevel="0" collapsed="false">
      <c r="A144" s="27" t="n">
        <v>2024</v>
      </c>
      <c r="B144" s="27" t="n">
        <v>2</v>
      </c>
      <c r="C144" s="27" t="s">
        <v>42</v>
      </c>
      <c r="D144" s="27" t="s">
        <v>22</v>
      </c>
      <c r="E144" s="27" t="s">
        <v>54</v>
      </c>
      <c r="F144" s="28" t="n">
        <v>1902</v>
      </c>
      <c r="G144" s="29" t="n">
        <v>2090</v>
      </c>
      <c r="H144" s="29" t="n">
        <f aca="false">F144*G144</f>
        <v>3975180</v>
      </c>
    </row>
    <row r="145" customFormat="false" ht="15" hidden="false" customHeight="false" outlineLevel="0" collapsed="false">
      <c r="A145" s="27" t="n">
        <v>2024</v>
      </c>
      <c r="B145" s="27" t="n">
        <v>2</v>
      </c>
      <c r="C145" s="27" t="s">
        <v>42</v>
      </c>
      <c r="D145" s="27" t="s">
        <v>22</v>
      </c>
      <c r="E145" s="27" t="s">
        <v>56</v>
      </c>
      <c r="F145" s="28" t="n">
        <v>2422</v>
      </c>
      <c r="G145" s="29" t="n">
        <v>2100</v>
      </c>
      <c r="H145" s="29" t="n">
        <f aca="false">F145*G145</f>
        <v>5086200</v>
      </c>
    </row>
    <row r="146" customFormat="false" ht="15" hidden="false" customHeight="false" outlineLevel="0" collapsed="false">
      <c r="A146" s="27" t="n">
        <v>2024</v>
      </c>
      <c r="B146" s="27" t="n">
        <v>2</v>
      </c>
      <c r="C146" s="27" t="s">
        <v>42</v>
      </c>
      <c r="D146" s="27" t="s">
        <v>22</v>
      </c>
      <c r="E146" s="27" t="s">
        <v>58</v>
      </c>
      <c r="F146" s="28" t="n">
        <v>1612</v>
      </c>
      <c r="G146" s="29" t="n">
        <v>2100</v>
      </c>
      <c r="H146" s="29" t="n">
        <f aca="false">F146*G146</f>
        <v>3385200</v>
      </c>
    </row>
    <row r="147" customFormat="false" ht="15" hidden="false" customHeight="false" outlineLevel="0" collapsed="false">
      <c r="A147" s="27" t="n">
        <v>2024</v>
      </c>
      <c r="B147" s="27" t="n">
        <v>2</v>
      </c>
      <c r="C147" s="27" t="s">
        <v>42</v>
      </c>
      <c r="D147" s="27" t="s">
        <v>24</v>
      </c>
      <c r="E147" s="27" t="s">
        <v>50</v>
      </c>
      <c r="F147" s="28" t="n">
        <v>2147</v>
      </c>
      <c r="G147" s="29" t="n">
        <v>1960</v>
      </c>
      <c r="H147" s="29" t="n">
        <f aca="false">F147*G147</f>
        <v>4208120</v>
      </c>
    </row>
    <row r="148" customFormat="false" ht="15" hidden="false" customHeight="false" outlineLevel="0" collapsed="false">
      <c r="A148" s="27" t="n">
        <v>2024</v>
      </c>
      <c r="B148" s="27" t="n">
        <v>2</v>
      </c>
      <c r="C148" s="27" t="s">
        <v>42</v>
      </c>
      <c r="D148" s="27" t="s">
        <v>24</v>
      </c>
      <c r="E148" s="27" t="s">
        <v>52</v>
      </c>
      <c r="F148" s="28" t="n">
        <v>1459</v>
      </c>
      <c r="G148" s="29" t="n">
        <v>1900</v>
      </c>
      <c r="H148" s="29" t="n">
        <f aca="false">F148*G148</f>
        <v>2772100</v>
      </c>
    </row>
    <row r="149" customFormat="false" ht="15" hidden="false" customHeight="false" outlineLevel="0" collapsed="false">
      <c r="A149" s="27" t="n">
        <v>2024</v>
      </c>
      <c r="B149" s="27" t="n">
        <v>2</v>
      </c>
      <c r="C149" s="27" t="s">
        <v>42</v>
      </c>
      <c r="D149" s="27" t="s">
        <v>24</v>
      </c>
      <c r="E149" s="27" t="s">
        <v>54</v>
      </c>
      <c r="F149" s="28" t="n">
        <v>1074</v>
      </c>
      <c r="G149" s="29" t="n">
        <v>1960</v>
      </c>
      <c r="H149" s="29" t="n">
        <f aca="false">F149*G149</f>
        <v>2105040</v>
      </c>
    </row>
    <row r="150" customFormat="false" ht="15" hidden="false" customHeight="false" outlineLevel="0" collapsed="false">
      <c r="A150" s="27" t="n">
        <v>2024</v>
      </c>
      <c r="B150" s="27" t="n">
        <v>2</v>
      </c>
      <c r="C150" s="27" t="s">
        <v>42</v>
      </c>
      <c r="D150" s="27" t="s">
        <v>24</v>
      </c>
      <c r="E150" s="27" t="s">
        <v>56</v>
      </c>
      <c r="F150" s="28" t="n">
        <v>1310</v>
      </c>
      <c r="G150" s="29" t="n">
        <v>1950</v>
      </c>
      <c r="H150" s="29" t="n">
        <f aca="false">F150*G150</f>
        <v>2554500</v>
      </c>
    </row>
    <row r="151" customFormat="false" ht="15" hidden="false" customHeight="false" outlineLevel="0" collapsed="false">
      <c r="A151" s="27" t="n">
        <v>2024</v>
      </c>
      <c r="B151" s="27" t="n">
        <v>2</v>
      </c>
      <c r="C151" s="27" t="s">
        <v>42</v>
      </c>
      <c r="D151" s="27" t="s">
        <v>24</v>
      </c>
      <c r="E151" s="27" t="s">
        <v>58</v>
      </c>
      <c r="F151" s="28" t="n">
        <v>806</v>
      </c>
      <c r="G151" s="29" t="n">
        <v>1960</v>
      </c>
      <c r="H151" s="29" t="n">
        <f aca="false">F151*G151</f>
        <v>1579760</v>
      </c>
    </row>
    <row r="152" customFormat="false" ht="15" hidden="false" customHeight="false" outlineLevel="0" collapsed="false">
      <c r="A152" s="27" t="n">
        <v>2024</v>
      </c>
      <c r="B152" s="27" t="n">
        <v>2</v>
      </c>
      <c r="C152" s="27" t="s">
        <v>42</v>
      </c>
      <c r="D152" s="27" t="s">
        <v>26</v>
      </c>
      <c r="E152" s="27" t="s">
        <v>50</v>
      </c>
      <c r="F152" s="28" t="n">
        <v>1137</v>
      </c>
      <c r="G152" s="29" t="n">
        <v>2320</v>
      </c>
      <c r="H152" s="29" t="n">
        <f aca="false">F152*G152</f>
        <v>2637840</v>
      </c>
    </row>
    <row r="153" customFormat="false" ht="15" hidden="false" customHeight="false" outlineLevel="0" collapsed="false">
      <c r="A153" s="27" t="n">
        <v>2024</v>
      </c>
      <c r="B153" s="27" t="n">
        <v>2</v>
      </c>
      <c r="C153" s="27" t="s">
        <v>42</v>
      </c>
      <c r="D153" s="27" t="s">
        <v>26</v>
      </c>
      <c r="E153" s="27" t="s">
        <v>52</v>
      </c>
      <c r="F153" s="28" t="n">
        <v>683</v>
      </c>
      <c r="G153" s="29" t="n">
        <v>2340</v>
      </c>
      <c r="H153" s="29" t="n">
        <f aca="false">F153*G153</f>
        <v>1598220</v>
      </c>
    </row>
    <row r="154" customFormat="false" ht="15" hidden="false" customHeight="false" outlineLevel="0" collapsed="false">
      <c r="A154" s="27" t="n">
        <v>2024</v>
      </c>
      <c r="B154" s="27" t="n">
        <v>2</v>
      </c>
      <c r="C154" s="27" t="s">
        <v>42</v>
      </c>
      <c r="D154" s="27" t="s">
        <v>26</v>
      </c>
      <c r="E154" s="27" t="s">
        <v>54</v>
      </c>
      <c r="F154" s="28" t="n">
        <v>522</v>
      </c>
      <c r="G154" s="29" t="n">
        <v>2330</v>
      </c>
      <c r="H154" s="29" t="n">
        <f aca="false">F154*G154</f>
        <v>1216260</v>
      </c>
    </row>
    <row r="155" customFormat="false" ht="15" hidden="false" customHeight="false" outlineLevel="0" collapsed="false">
      <c r="A155" s="27" t="n">
        <v>2024</v>
      </c>
      <c r="B155" s="27" t="n">
        <v>2</v>
      </c>
      <c r="C155" s="27" t="s">
        <v>42</v>
      </c>
      <c r="D155" s="27" t="s">
        <v>26</v>
      </c>
      <c r="E155" s="27" t="s">
        <v>56</v>
      </c>
      <c r="F155" s="28" t="n">
        <v>611</v>
      </c>
      <c r="G155" s="29" t="n">
        <v>2380</v>
      </c>
      <c r="H155" s="29" t="n">
        <f aca="false">F155*G155</f>
        <v>1454180</v>
      </c>
    </row>
    <row r="156" customFormat="false" ht="15" hidden="false" customHeight="false" outlineLevel="0" collapsed="false">
      <c r="A156" s="27" t="n">
        <v>2024</v>
      </c>
      <c r="B156" s="27" t="n">
        <v>2</v>
      </c>
      <c r="C156" s="27" t="s">
        <v>42</v>
      </c>
      <c r="D156" s="27" t="s">
        <v>26</v>
      </c>
      <c r="E156" s="27" t="s">
        <v>58</v>
      </c>
      <c r="F156" s="28" t="n">
        <v>438</v>
      </c>
      <c r="G156" s="29" t="n">
        <v>2390</v>
      </c>
      <c r="H156" s="29" t="n">
        <f aca="false">F156*G156</f>
        <v>1046820</v>
      </c>
    </row>
    <row r="157" customFormat="false" ht="15" hidden="false" customHeight="false" outlineLevel="0" collapsed="false">
      <c r="A157" s="27" t="n">
        <v>2024</v>
      </c>
      <c r="B157" s="27" t="n">
        <v>2</v>
      </c>
      <c r="C157" s="27" t="s">
        <v>42</v>
      </c>
      <c r="D157" s="27" t="s">
        <v>28</v>
      </c>
      <c r="E157" s="27" t="s">
        <v>50</v>
      </c>
      <c r="F157" s="28" t="n">
        <v>426</v>
      </c>
      <c r="G157" s="29" t="n">
        <v>2210</v>
      </c>
      <c r="H157" s="29" t="n">
        <f aca="false">F157*G157</f>
        <v>941460</v>
      </c>
    </row>
    <row r="158" customFormat="false" ht="15" hidden="false" customHeight="false" outlineLevel="0" collapsed="false">
      <c r="A158" s="27" t="n">
        <v>2024</v>
      </c>
      <c r="B158" s="27" t="n">
        <v>2</v>
      </c>
      <c r="C158" s="27" t="s">
        <v>42</v>
      </c>
      <c r="D158" s="27" t="s">
        <v>28</v>
      </c>
      <c r="E158" s="27" t="s">
        <v>52</v>
      </c>
      <c r="F158" s="28" t="n">
        <v>274</v>
      </c>
      <c r="G158" s="29" t="n">
        <v>2210</v>
      </c>
      <c r="H158" s="29" t="n">
        <f aca="false">F158*G158</f>
        <v>605540</v>
      </c>
    </row>
    <row r="159" customFormat="false" ht="15" hidden="false" customHeight="false" outlineLevel="0" collapsed="false">
      <c r="A159" s="27" t="n">
        <v>2024</v>
      </c>
      <c r="B159" s="27" t="n">
        <v>2</v>
      </c>
      <c r="C159" s="27" t="s">
        <v>42</v>
      </c>
      <c r="D159" s="27" t="s">
        <v>28</v>
      </c>
      <c r="E159" s="27" t="s">
        <v>54</v>
      </c>
      <c r="F159" s="28" t="n">
        <v>210</v>
      </c>
      <c r="G159" s="29" t="n">
        <v>2200</v>
      </c>
      <c r="H159" s="29" t="n">
        <f aca="false">F159*G159</f>
        <v>462000</v>
      </c>
    </row>
    <row r="160" customFormat="false" ht="15" hidden="false" customHeight="false" outlineLevel="0" collapsed="false">
      <c r="A160" s="27" t="n">
        <v>2024</v>
      </c>
      <c r="B160" s="27" t="n">
        <v>2</v>
      </c>
      <c r="C160" s="27" t="s">
        <v>42</v>
      </c>
      <c r="D160" s="27" t="s">
        <v>28</v>
      </c>
      <c r="E160" s="27" t="s">
        <v>56</v>
      </c>
      <c r="F160" s="28" t="n">
        <v>240</v>
      </c>
      <c r="G160" s="29" t="n">
        <v>2190</v>
      </c>
      <c r="H160" s="29" t="n">
        <f aca="false">F160*G160</f>
        <v>525600</v>
      </c>
    </row>
    <row r="161" customFormat="false" ht="15" hidden="false" customHeight="false" outlineLevel="0" collapsed="false">
      <c r="A161" s="27" t="n">
        <v>2024</v>
      </c>
      <c r="B161" s="27" t="n">
        <v>2</v>
      </c>
      <c r="C161" s="27" t="s">
        <v>42</v>
      </c>
      <c r="D161" s="27" t="s">
        <v>28</v>
      </c>
      <c r="E161" s="27" t="s">
        <v>58</v>
      </c>
      <c r="F161" s="28" t="n">
        <v>172</v>
      </c>
      <c r="G161" s="29" t="n">
        <v>2180</v>
      </c>
      <c r="H161" s="29" t="n">
        <f aca="false">F161*G161</f>
        <v>374960</v>
      </c>
    </row>
    <row r="162" customFormat="false" ht="15" hidden="false" customHeight="false" outlineLevel="0" collapsed="false">
      <c r="A162" s="27" t="n">
        <v>2024</v>
      </c>
      <c r="B162" s="27" t="n">
        <v>2</v>
      </c>
      <c r="C162" s="27" t="s">
        <v>44</v>
      </c>
      <c r="D162" s="27" t="s">
        <v>22</v>
      </c>
      <c r="E162" s="27" t="s">
        <v>50</v>
      </c>
      <c r="F162" s="28" t="n">
        <v>2282</v>
      </c>
      <c r="G162" s="29" t="n">
        <v>3890</v>
      </c>
      <c r="H162" s="29" t="n">
        <f aca="false">F162*G162</f>
        <v>8876980</v>
      </c>
    </row>
    <row r="163" customFormat="false" ht="15" hidden="false" customHeight="false" outlineLevel="0" collapsed="false">
      <c r="A163" s="27" t="n">
        <v>2024</v>
      </c>
      <c r="B163" s="27" t="n">
        <v>2</v>
      </c>
      <c r="C163" s="27" t="s">
        <v>44</v>
      </c>
      <c r="D163" s="27" t="s">
        <v>22</v>
      </c>
      <c r="E163" s="27" t="s">
        <v>52</v>
      </c>
      <c r="F163" s="28" t="n">
        <v>1453</v>
      </c>
      <c r="G163" s="29" t="n">
        <v>3930</v>
      </c>
      <c r="H163" s="29" t="n">
        <f aca="false">F163*G163</f>
        <v>5710290</v>
      </c>
    </row>
    <row r="164" customFormat="false" ht="15" hidden="false" customHeight="false" outlineLevel="0" collapsed="false">
      <c r="A164" s="27" t="n">
        <v>2024</v>
      </c>
      <c r="B164" s="27" t="n">
        <v>2</v>
      </c>
      <c r="C164" s="27" t="s">
        <v>44</v>
      </c>
      <c r="D164" s="27" t="s">
        <v>22</v>
      </c>
      <c r="E164" s="27" t="s">
        <v>54</v>
      </c>
      <c r="F164" s="28" t="n">
        <v>1198</v>
      </c>
      <c r="G164" s="29" t="n">
        <v>3930</v>
      </c>
      <c r="H164" s="29" t="n">
        <f aca="false">F164*G164</f>
        <v>4708140</v>
      </c>
    </row>
    <row r="165" customFormat="false" ht="15" hidden="false" customHeight="false" outlineLevel="0" collapsed="false">
      <c r="A165" s="27" t="n">
        <v>2024</v>
      </c>
      <c r="B165" s="27" t="n">
        <v>2</v>
      </c>
      <c r="C165" s="27" t="s">
        <v>44</v>
      </c>
      <c r="D165" s="27" t="s">
        <v>22</v>
      </c>
      <c r="E165" s="27" t="s">
        <v>56</v>
      </c>
      <c r="F165" s="28" t="n">
        <v>1202</v>
      </c>
      <c r="G165" s="29" t="n">
        <v>3900</v>
      </c>
      <c r="H165" s="29" t="n">
        <f aca="false">F165*G165</f>
        <v>4687800</v>
      </c>
    </row>
    <row r="166" customFormat="false" ht="15" hidden="false" customHeight="false" outlineLevel="0" collapsed="false">
      <c r="A166" s="27" t="n">
        <v>2024</v>
      </c>
      <c r="B166" s="27" t="n">
        <v>2</v>
      </c>
      <c r="C166" s="27" t="s">
        <v>44</v>
      </c>
      <c r="D166" s="27" t="s">
        <v>22</v>
      </c>
      <c r="E166" s="27" t="s">
        <v>58</v>
      </c>
      <c r="F166" s="28" t="n">
        <v>840</v>
      </c>
      <c r="G166" s="29" t="n">
        <v>3880</v>
      </c>
      <c r="H166" s="29" t="n">
        <f aca="false">F166*G166</f>
        <v>3259200</v>
      </c>
    </row>
    <row r="167" customFormat="false" ht="15" hidden="false" customHeight="false" outlineLevel="0" collapsed="false">
      <c r="A167" s="27" t="n">
        <v>2024</v>
      </c>
      <c r="B167" s="27" t="n">
        <v>2</v>
      </c>
      <c r="C167" s="27" t="s">
        <v>44</v>
      </c>
      <c r="D167" s="27" t="s">
        <v>24</v>
      </c>
      <c r="E167" s="27" t="s">
        <v>50</v>
      </c>
      <c r="F167" s="28" t="n">
        <v>1276</v>
      </c>
      <c r="G167" s="29" t="n">
        <v>3650</v>
      </c>
      <c r="H167" s="29" t="n">
        <f aca="false">F167*G167</f>
        <v>4657400</v>
      </c>
    </row>
    <row r="168" customFormat="false" ht="15" hidden="false" customHeight="false" outlineLevel="0" collapsed="false">
      <c r="A168" s="27" t="n">
        <v>2024</v>
      </c>
      <c r="B168" s="27" t="n">
        <v>2</v>
      </c>
      <c r="C168" s="27" t="s">
        <v>44</v>
      </c>
      <c r="D168" s="27" t="s">
        <v>24</v>
      </c>
      <c r="E168" s="27" t="s">
        <v>52</v>
      </c>
      <c r="F168" s="28" t="n">
        <v>715</v>
      </c>
      <c r="G168" s="29" t="n">
        <v>3590</v>
      </c>
      <c r="H168" s="29" t="n">
        <f aca="false">F168*G168</f>
        <v>2566850</v>
      </c>
    </row>
    <row r="169" customFormat="false" ht="15" hidden="false" customHeight="false" outlineLevel="0" collapsed="false">
      <c r="A169" s="27" t="n">
        <v>2024</v>
      </c>
      <c r="B169" s="27" t="n">
        <v>2</v>
      </c>
      <c r="C169" s="27" t="s">
        <v>44</v>
      </c>
      <c r="D169" s="27" t="s">
        <v>24</v>
      </c>
      <c r="E169" s="27" t="s">
        <v>54</v>
      </c>
      <c r="F169" s="28" t="n">
        <v>594</v>
      </c>
      <c r="G169" s="29" t="n">
        <v>3580</v>
      </c>
      <c r="H169" s="29" t="n">
        <f aca="false">F169*G169</f>
        <v>2126520</v>
      </c>
    </row>
    <row r="170" customFormat="false" ht="15" hidden="false" customHeight="false" outlineLevel="0" collapsed="false">
      <c r="A170" s="27" t="n">
        <v>2024</v>
      </c>
      <c r="B170" s="27" t="n">
        <v>2</v>
      </c>
      <c r="C170" s="27" t="s">
        <v>44</v>
      </c>
      <c r="D170" s="27" t="s">
        <v>24</v>
      </c>
      <c r="E170" s="27" t="s">
        <v>56</v>
      </c>
      <c r="F170" s="28" t="n">
        <v>681</v>
      </c>
      <c r="G170" s="29" t="n">
        <v>3640</v>
      </c>
      <c r="H170" s="29" t="n">
        <f aca="false">F170*G170</f>
        <v>2478840</v>
      </c>
    </row>
    <row r="171" customFormat="false" ht="15" hidden="false" customHeight="false" outlineLevel="0" collapsed="false">
      <c r="A171" s="27" t="n">
        <v>2024</v>
      </c>
      <c r="B171" s="27" t="n">
        <v>2</v>
      </c>
      <c r="C171" s="27" t="s">
        <v>44</v>
      </c>
      <c r="D171" s="27" t="s">
        <v>24</v>
      </c>
      <c r="E171" s="27" t="s">
        <v>58</v>
      </c>
      <c r="F171" s="28" t="n">
        <v>510</v>
      </c>
      <c r="G171" s="29" t="n">
        <v>3650</v>
      </c>
      <c r="H171" s="29" t="n">
        <f aca="false">F171*G171</f>
        <v>1861500</v>
      </c>
    </row>
    <row r="172" customFormat="false" ht="15" hidden="false" customHeight="false" outlineLevel="0" collapsed="false">
      <c r="A172" s="27" t="n">
        <v>2024</v>
      </c>
      <c r="B172" s="27" t="n">
        <v>2</v>
      </c>
      <c r="C172" s="27" t="s">
        <v>44</v>
      </c>
      <c r="D172" s="27" t="s">
        <v>26</v>
      </c>
      <c r="E172" s="27" t="s">
        <v>50</v>
      </c>
      <c r="F172" s="28" t="n">
        <v>506</v>
      </c>
      <c r="G172" s="29" t="n">
        <v>4380</v>
      </c>
      <c r="H172" s="29" t="n">
        <f aca="false">F172*G172</f>
        <v>2216280</v>
      </c>
    </row>
    <row r="173" customFormat="false" ht="15" hidden="false" customHeight="false" outlineLevel="0" collapsed="false">
      <c r="A173" s="27" t="n">
        <v>2024</v>
      </c>
      <c r="B173" s="27" t="n">
        <v>2</v>
      </c>
      <c r="C173" s="27" t="s">
        <v>44</v>
      </c>
      <c r="D173" s="27" t="s">
        <v>26</v>
      </c>
      <c r="E173" s="27" t="s">
        <v>52</v>
      </c>
      <c r="F173" s="28" t="n">
        <v>358</v>
      </c>
      <c r="G173" s="29" t="n">
        <v>4390</v>
      </c>
      <c r="H173" s="29" t="n">
        <f aca="false">F173*G173</f>
        <v>1571620</v>
      </c>
    </row>
    <row r="174" customFormat="false" ht="15" hidden="false" customHeight="false" outlineLevel="0" collapsed="false">
      <c r="A174" s="27" t="n">
        <v>2024</v>
      </c>
      <c r="B174" s="27" t="n">
        <v>2</v>
      </c>
      <c r="C174" s="27" t="s">
        <v>44</v>
      </c>
      <c r="D174" s="27" t="s">
        <v>26</v>
      </c>
      <c r="E174" s="27" t="s">
        <v>54</v>
      </c>
      <c r="F174" s="28" t="n">
        <v>309</v>
      </c>
      <c r="G174" s="29" t="n">
        <v>4280</v>
      </c>
      <c r="H174" s="29" t="n">
        <f aca="false">F174*G174</f>
        <v>1322520</v>
      </c>
    </row>
    <row r="175" customFormat="false" ht="15" hidden="false" customHeight="false" outlineLevel="0" collapsed="false">
      <c r="A175" s="27" t="n">
        <v>2024</v>
      </c>
      <c r="B175" s="27" t="n">
        <v>2</v>
      </c>
      <c r="C175" s="27" t="s">
        <v>44</v>
      </c>
      <c r="D175" s="27" t="s">
        <v>26</v>
      </c>
      <c r="E175" s="27" t="s">
        <v>56</v>
      </c>
      <c r="F175" s="28" t="n">
        <v>329</v>
      </c>
      <c r="G175" s="29" t="n">
        <v>4390</v>
      </c>
      <c r="H175" s="29" t="n">
        <f aca="false">F175*G175</f>
        <v>1444310</v>
      </c>
    </row>
    <row r="176" customFormat="false" ht="15" hidden="false" customHeight="false" outlineLevel="0" collapsed="false">
      <c r="A176" s="27" t="n">
        <v>2024</v>
      </c>
      <c r="B176" s="27" t="n">
        <v>2</v>
      </c>
      <c r="C176" s="27" t="s">
        <v>44</v>
      </c>
      <c r="D176" s="27" t="s">
        <v>26</v>
      </c>
      <c r="E176" s="27" t="s">
        <v>58</v>
      </c>
      <c r="F176" s="28" t="n">
        <v>214</v>
      </c>
      <c r="G176" s="29" t="n">
        <v>4430</v>
      </c>
      <c r="H176" s="29" t="n">
        <f aca="false">F176*G176</f>
        <v>948020</v>
      </c>
    </row>
    <row r="177" customFormat="false" ht="15" hidden="false" customHeight="false" outlineLevel="0" collapsed="false">
      <c r="A177" s="27" t="n">
        <v>2024</v>
      </c>
      <c r="B177" s="27" t="n">
        <v>2</v>
      </c>
      <c r="C177" s="27" t="s">
        <v>44</v>
      </c>
      <c r="D177" s="27" t="s">
        <v>28</v>
      </c>
      <c r="E177" s="27" t="s">
        <v>50</v>
      </c>
      <c r="F177" s="28" t="n">
        <v>224</v>
      </c>
      <c r="G177" s="29" t="n">
        <v>4130</v>
      </c>
      <c r="H177" s="29" t="n">
        <f aca="false">F177*G177</f>
        <v>925120</v>
      </c>
    </row>
    <row r="178" customFormat="false" ht="15" hidden="false" customHeight="false" outlineLevel="0" collapsed="false">
      <c r="A178" s="27" t="n">
        <v>2024</v>
      </c>
      <c r="B178" s="27" t="n">
        <v>2</v>
      </c>
      <c r="C178" s="27" t="s">
        <v>44</v>
      </c>
      <c r="D178" s="27" t="s">
        <v>28</v>
      </c>
      <c r="E178" s="27" t="s">
        <v>52</v>
      </c>
      <c r="F178" s="28" t="n">
        <v>133</v>
      </c>
      <c r="G178" s="29" t="n">
        <v>4130</v>
      </c>
      <c r="H178" s="29" t="n">
        <f aca="false">F178*G178</f>
        <v>549290</v>
      </c>
    </row>
    <row r="179" customFormat="false" ht="15" hidden="false" customHeight="false" outlineLevel="0" collapsed="false">
      <c r="A179" s="27" t="n">
        <v>2024</v>
      </c>
      <c r="B179" s="27" t="n">
        <v>2</v>
      </c>
      <c r="C179" s="27" t="s">
        <v>44</v>
      </c>
      <c r="D179" s="27" t="s">
        <v>28</v>
      </c>
      <c r="E179" s="27" t="s">
        <v>54</v>
      </c>
      <c r="F179" s="28" t="n">
        <v>116</v>
      </c>
      <c r="G179" s="29" t="n">
        <v>4100</v>
      </c>
      <c r="H179" s="29" t="n">
        <f aca="false">F179*G179</f>
        <v>475600</v>
      </c>
    </row>
    <row r="180" customFormat="false" ht="15" hidden="false" customHeight="false" outlineLevel="0" collapsed="false">
      <c r="A180" s="27" t="n">
        <v>2024</v>
      </c>
      <c r="B180" s="27" t="n">
        <v>2</v>
      </c>
      <c r="C180" s="27" t="s">
        <v>44</v>
      </c>
      <c r="D180" s="27" t="s">
        <v>28</v>
      </c>
      <c r="E180" s="27" t="s">
        <v>56</v>
      </c>
      <c r="F180" s="28" t="n">
        <v>132</v>
      </c>
      <c r="G180" s="29" t="n">
        <v>4110</v>
      </c>
      <c r="H180" s="29" t="n">
        <f aca="false">F180*G180</f>
        <v>542520</v>
      </c>
    </row>
    <row r="181" customFormat="false" ht="15" hidden="false" customHeight="false" outlineLevel="0" collapsed="false">
      <c r="A181" s="27" t="n">
        <v>2024</v>
      </c>
      <c r="B181" s="27" t="n">
        <v>2</v>
      </c>
      <c r="C181" s="27" t="s">
        <v>44</v>
      </c>
      <c r="D181" s="27" t="s">
        <v>28</v>
      </c>
      <c r="E181" s="27" t="s">
        <v>58</v>
      </c>
      <c r="F181" s="28" t="n">
        <v>85</v>
      </c>
      <c r="G181" s="29" t="n">
        <v>4090</v>
      </c>
      <c r="H181" s="29" t="n">
        <f aca="false">F181*G181</f>
        <v>347650</v>
      </c>
    </row>
    <row r="182" customFormat="false" ht="15" hidden="false" customHeight="false" outlineLevel="0" collapsed="false">
      <c r="A182" s="27" t="n">
        <v>2024</v>
      </c>
      <c r="B182" s="27" t="n">
        <v>2</v>
      </c>
      <c r="C182" s="27" t="s">
        <v>45</v>
      </c>
      <c r="D182" s="27" t="s">
        <v>22</v>
      </c>
      <c r="E182" s="27" t="s">
        <v>50</v>
      </c>
      <c r="F182" s="28" t="n">
        <v>2906</v>
      </c>
      <c r="G182" s="29" t="n">
        <v>2410</v>
      </c>
      <c r="H182" s="29" t="n">
        <f aca="false">F182*G182</f>
        <v>7003460</v>
      </c>
    </row>
    <row r="183" customFormat="false" ht="15" hidden="false" customHeight="false" outlineLevel="0" collapsed="false">
      <c r="A183" s="27" t="n">
        <v>2024</v>
      </c>
      <c r="B183" s="27" t="n">
        <v>2</v>
      </c>
      <c r="C183" s="27" t="s">
        <v>45</v>
      </c>
      <c r="D183" s="27" t="s">
        <v>22</v>
      </c>
      <c r="E183" s="27" t="s">
        <v>52</v>
      </c>
      <c r="F183" s="28" t="n">
        <v>1922</v>
      </c>
      <c r="G183" s="29" t="n">
        <v>2370</v>
      </c>
      <c r="H183" s="29" t="n">
        <f aca="false">F183*G183</f>
        <v>4555140</v>
      </c>
    </row>
    <row r="184" customFormat="false" ht="15" hidden="false" customHeight="false" outlineLevel="0" collapsed="false">
      <c r="A184" s="27" t="n">
        <v>2024</v>
      </c>
      <c r="B184" s="27" t="n">
        <v>2</v>
      </c>
      <c r="C184" s="27" t="s">
        <v>45</v>
      </c>
      <c r="D184" s="27" t="s">
        <v>22</v>
      </c>
      <c r="E184" s="27" t="s">
        <v>54</v>
      </c>
      <c r="F184" s="28" t="n">
        <v>1455</v>
      </c>
      <c r="G184" s="29" t="n">
        <v>2440</v>
      </c>
      <c r="H184" s="29" t="n">
        <f aca="false">F184*G184</f>
        <v>3550200</v>
      </c>
    </row>
    <row r="185" customFormat="false" ht="15" hidden="false" customHeight="false" outlineLevel="0" collapsed="false">
      <c r="A185" s="27" t="n">
        <v>2024</v>
      </c>
      <c r="B185" s="27" t="n">
        <v>2</v>
      </c>
      <c r="C185" s="27" t="s">
        <v>45</v>
      </c>
      <c r="D185" s="27" t="s">
        <v>22</v>
      </c>
      <c r="E185" s="27" t="s">
        <v>56</v>
      </c>
      <c r="F185" s="28" t="n">
        <v>1674</v>
      </c>
      <c r="G185" s="29" t="n">
        <v>2380</v>
      </c>
      <c r="H185" s="29" t="n">
        <f aca="false">F185*G185</f>
        <v>3984120</v>
      </c>
    </row>
    <row r="186" customFormat="false" ht="15" hidden="false" customHeight="false" outlineLevel="0" collapsed="false">
      <c r="A186" s="27" t="n">
        <v>2024</v>
      </c>
      <c r="B186" s="27" t="n">
        <v>2</v>
      </c>
      <c r="C186" s="27" t="s">
        <v>45</v>
      </c>
      <c r="D186" s="27" t="s">
        <v>22</v>
      </c>
      <c r="E186" s="27" t="s">
        <v>58</v>
      </c>
      <c r="F186" s="28" t="n">
        <v>1202</v>
      </c>
      <c r="G186" s="29" t="n">
        <v>2420</v>
      </c>
      <c r="H186" s="29" t="n">
        <f aca="false">F186*G186</f>
        <v>2908840</v>
      </c>
    </row>
    <row r="187" customFormat="false" ht="15" hidden="false" customHeight="false" outlineLevel="0" collapsed="false">
      <c r="A187" s="27" t="n">
        <v>2024</v>
      </c>
      <c r="B187" s="27" t="n">
        <v>2</v>
      </c>
      <c r="C187" s="27" t="s">
        <v>45</v>
      </c>
      <c r="D187" s="27" t="s">
        <v>24</v>
      </c>
      <c r="E187" s="27" t="s">
        <v>50</v>
      </c>
      <c r="F187" s="28" t="n">
        <v>1582</v>
      </c>
      <c r="G187" s="29" t="n">
        <v>2260</v>
      </c>
      <c r="H187" s="29" t="n">
        <f aca="false">F187*G187</f>
        <v>3575320</v>
      </c>
    </row>
    <row r="188" customFormat="false" ht="15" hidden="false" customHeight="false" outlineLevel="0" collapsed="false">
      <c r="A188" s="27" t="n">
        <v>2024</v>
      </c>
      <c r="B188" s="27" t="n">
        <v>2</v>
      </c>
      <c r="C188" s="27" t="s">
        <v>45</v>
      </c>
      <c r="D188" s="27" t="s">
        <v>24</v>
      </c>
      <c r="E188" s="27" t="s">
        <v>52</v>
      </c>
      <c r="F188" s="28" t="n">
        <v>1031</v>
      </c>
      <c r="G188" s="29" t="n">
        <v>2250</v>
      </c>
      <c r="H188" s="29" t="n">
        <f aca="false">F188*G188</f>
        <v>2319750</v>
      </c>
    </row>
    <row r="189" customFormat="false" ht="15" hidden="false" customHeight="false" outlineLevel="0" collapsed="false">
      <c r="A189" s="27" t="n">
        <v>2024</v>
      </c>
      <c r="B189" s="27" t="n">
        <v>2</v>
      </c>
      <c r="C189" s="27" t="s">
        <v>45</v>
      </c>
      <c r="D189" s="27" t="s">
        <v>24</v>
      </c>
      <c r="E189" s="27" t="s">
        <v>54</v>
      </c>
      <c r="F189" s="28" t="n">
        <v>813</v>
      </c>
      <c r="G189" s="29" t="n">
        <v>2280</v>
      </c>
      <c r="H189" s="29" t="n">
        <f aca="false">F189*G189</f>
        <v>1853640</v>
      </c>
    </row>
    <row r="190" customFormat="false" ht="15" hidden="false" customHeight="false" outlineLevel="0" collapsed="false">
      <c r="A190" s="27" t="n">
        <v>2024</v>
      </c>
      <c r="B190" s="27" t="n">
        <v>2</v>
      </c>
      <c r="C190" s="27" t="s">
        <v>45</v>
      </c>
      <c r="D190" s="27" t="s">
        <v>24</v>
      </c>
      <c r="E190" s="27" t="s">
        <v>56</v>
      </c>
      <c r="F190" s="28" t="n">
        <v>929</v>
      </c>
      <c r="G190" s="29" t="n">
        <v>2190</v>
      </c>
      <c r="H190" s="29" t="n">
        <f aca="false">F190*G190</f>
        <v>2034510</v>
      </c>
    </row>
    <row r="191" customFormat="false" ht="15" hidden="false" customHeight="false" outlineLevel="0" collapsed="false">
      <c r="A191" s="27" t="n">
        <v>2024</v>
      </c>
      <c r="B191" s="27" t="n">
        <v>2</v>
      </c>
      <c r="C191" s="27" t="s">
        <v>45</v>
      </c>
      <c r="D191" s="27" t="s">
        <v>24</v>
      </c>
      <c r="E191" s="27" t="s">
        <v>58</v>
      </c>
      <c r="F191" s="28" t="n">
        <v>694</v>
      </c>
      <c r="G191" s="29" t="n">
        <v>2220</v>
      </c>
      <c r="H191" s="29" t="n">
        <f aca="false">F191*G191</f>
        <v>1540680</v>
      </c>
    </row>
    <row r="192" customFormat="false" ht="15" hidden="false" customHeight="false" outlineLevel="0" collapsed="false">
      <c r="A192" s="27" t="n">
        <v>2024</v>
      </c>
      <c r="B192" s="27" t="n">
        <v>2</v>
      </c>
      <c r="C192" s="27" t="s">
        <v>45</v>
      </c>
      <c r="D192" s="27" t="s">
        <v>26</v>
      </c>
      <c r="E192" s="27" t="s">
        <v>50</v>
      </c>
      <c r="F192" s="28" t="n">
        <v>766</v>
      </c>
      <c r="G192" s="29" t="n">
        <v>2720</v>
      </c>
      <c r="H192" s="29" t="n">
        <f aca="false">F192*G192</f>
        <v>2083520</v>
      </c>
    </row>
    <row r="193" customFormat="false" ht="15" hidden="false" customHeight="false" outlineLevel="0" collapsed="false">
      <c r="A193" s="27" t="n">
        <v>2024</v>
      </c>
      <c r="B193" s="27" t="n">
        <v>2</v>
      </c>
      <c r="C193" s="27" t="s">
        <v>45</v>
      </c>
      <c r="D193" s="27" t="s">
        <v>26</v>
      </c>
      <c r="E193" s="27" t="s">
        <v>52</v>
      </c>
      <c r="F193" s="28" t="n">
        <v>438</v>
      </c>
      <c r="G193" s="29" t="n">
        <v>2650</v>
      </c>
      <c r="H193" s="29" t="n">
        <f aca="false">F193*G193</f>
        <v>1160700</v>
      </c>
    </row>
    <row r="194" customFormat="false" ht="15" hidden="false" customHeight="false" outlineLevel="0" collapsed="false">
      <c r="A194" s="27" t="n">
        <v>2024</v>
      </c>
      <c r="B194" s="27" t="n">
        <v>2</v>
      </c>
      <c r="C194" s="27" t="s">
        <v>45</v>
      </c>
      <c r="D194" s="27" t="s">
        <v>26</v>
      </c>
      <c r="E194" s="27" t="s">
        <v>54</v>
      </c>
      <c r="F194" s="28" t="n">
        <v>350</v>
      </c>
      <c r="G194" s="29" t="n">
        <v>2670</v>
      </c>
      <c r="H194" s="29" t="n">
        <f aca="false">F194*G194</f>
        <v>934500</v>
      </c>
    </row>
    <row r="195" customFormat="false" ht="15" hidden="false" customHeight="false" outlineLevel="0" collapsed="false">
      <c r="A195" s="27" t="n">
        <v>2024</v>
      </c>
      <c r="B195" s="27" t="n">
        <v>2</v>
      </c>
      <c r="C195" s="27" t="s">
        <v>45</v>
      </c>
      <c r="D195" s="27" t="s">
        <v>26</v>
      </c>
      <c r="E195" s="27" t="s">
        <v>56</v>
      </c>
      <c r="F195" s="28" t="n">
        <v>462</v>
      </c>
      <c r="G195" s="29" t="n">
        <v>2700</v>
      </c>
      <c r="H195" s="29" t="n">
        <f aca="false">F195*G195</f>
        <v>1247400</v>
      </c>
    </row>
    <row r="196" customFormat="false" ht="15" hidden="false" customHeight="false" outlineLevel="0" collapsed="false">
      <c r="A196" s="27" t="n">
        <v>2024</v>
      </c>
      <c r="B196" s="27" t="n">
        <v>2</v>
      </c>
      <c r="C196" s="27" t="s">
        <v>45</v>
      </c>
      <c r="D196" s="27" t="s">
        <v>26</v>
      </c>
      <c r="E196" s="27" t="s">
        <v>58</v>
      </c>
      <c r="F196" s="28" t="n">
        <v>314</v>
      </c>
      <c r="G196" s="29" t="n">
        <v>2650</v>
      </c>
      <c r="H196" s="29" t="n">
        <f aca="false">F196*G196</f>
        <v>832100</v>
      </c>
    </row>
    <row r="197" customFormat="false" ht="15" hidden="false" customHeight="false" outlineLevel="0" collapsed="false">
      <c r="A197" s="27" t="n">
        <v>2024</v>
      </c>
      <c r="B197" s="27" t="n">
        <v>2</v>
      </c>
      <c r="C197" s="27" t="s">
        <v>45</v>
      </c>
      <c r="D197" s="27" t="s">
        <v>28</v>
      </c>
      <c r="E197" s="27" t="s">
        <v>50</v>
      </c>
      <c r="F197" s="28" t="n">
        <v>259</v>
      </c>
      <c r="G197" s="29" t="n">
        <v>2520</v>
      </c>
      <c r="H197" s="29" t="n">
        <f aca="false">F197*G197</f>
        <v>652680</v>
      </c>
    </row>
    <row r="198" customFormat="false" ht="15" hidden="false" customHeight="false" outlineLevel="0" collapsed="false">
      <c r="A198" s="27" t="n">
        <v>2024</v>
      </c>
      <c r="B198" s="27" t="n">
        <v>2</v>
      </c>
      <c r="C198" s="27" t="s">
        <v>45</v>
      </c>
      <c r="D198" s="27" t="s">
        <v>28</v>
      </c>
      <c r="E198" s="27" t="s">
        <v>52</v>
      </c>
      <c r="F198" s="28" t="n">
        <v>179</v>
      </c>
      <c r="G198" s="29" t="n">
        <v>2530</v>
      </c>
      <c r="H198" s="29" t="n">
        <f aca="false">F198*G198</f>
        <v>452870</v>
      </c>
    </row>
    <row r="199" customFormat="false" ht="15" hidden="false" customHeight="false" outlineLevel="0" collapsed="false">
      <c r="A199" s="27" t="n">
        <v>2024</v>
      </c>
      <c r="B199" s="27" t="n">
        <v>2</v>
      </c>
      <c r="C199" s="27" t="s">
        <v>45</v>
      </c>
      <c r="D199" s="27" t="s">
        <v>28</v>
      </c>
      <c r="E199" s="27" t="s">
        <v>54</v>
      </c>
      <c r="F199" s="28" t="n">
        <v>152</v>
      </c>
      <c r="G199" s="29" t="n">
        <v>2520</v>
      </c>
      <c r="H199" s="29" t="n">
        <f aca="false">F199*G199</f>
        <v>383040</v>
      </c>
    </row>
    <row r="200" customFormat="false" ht="15" hidden="false" customHeight="false" outlineLevel="0" collapsed="false">
      <c r="A200" s="27" t="n">
        <v>2024</v>
      </c>
      <c r="B200" s="27" t="n">
        <v>2</v>
      </c>
      <c r="C200" s="27" t="s">
        <v>45</v>
      </c>
      <c r="D200" s="27" t="s">
        <v>28</v>
      </c>
      <c r="E200" s="27" t="s">
        <v>56</v>
      </c>
      <c r="F200" s="28" t="n">
        <v>180</v>
      </c>
      <c r="G200" s="29" t="n">
        <v>2530</v>
      </c>
      <c r="H200" s="29" t="n">
        <f aca="false">F200*G200</f>
        <v>455400</v>
      </c>
    </row>
    <row r="201" customFormat="false" ht="15" hidden="false" customHeight="false" outlineLevel="0" collapsed="false">
      <c r="A201" s="27" t="n">
        <v>2024</v>
      </c>
      <c r="B201" s="27" t="n">
        <v>2</v>
      </c>
      <c r="C201" s="27" t="s">
        <v>45</v>
      </c>
      <c r="D201" s="27" t="s">
        <v>28</v>
      </c>
      <c r="E201" s="27" t="s">
        <v>58</v>
      </c>
      <c r="F201" s="28" t="n">
        <v>122</v>
      </c>
      <c r="G201" s="29" t="n">
        <v>2500</v>
      </c>
      <c r="H201" s="29" t="n">
        <f aca="false">F201*G201</f>
        <v>305000</v>
      </c>
    </row>
    <row r="202" customFormat="false" ht="15" hidden="false" customHeight="false" outlineLevel="0" collapsed="false">
      <c r="A202" s="27" t="n">
        <v>2024</v>
      </c>
      <c r="B202" s="27" t="n">
        <v>3</v>
      </c>
      <c r="C202" s="27" t="s">
        <v>38</v>
      </c>
      <c r="D202" s="27" t="s">
        <v>22</v>
      </c>
      <c r="E202" s="27" t="s">
        <v>50</v>
      </c>
      <c r="F202" s="28" t="n">
        <v>7833</v>
      </c>
      <c r="G202" s="29" t="n">
        <v>2610</v>
      </c>
      <c r="H202" s="29" t="n">
        <f aca="false">F202*G202</f>
        <v>20444130</v>
      </c>
    </row>
    <row r="203" customFormat="false" ht="15" hidden="false" customHeight="false" outlineLevel="0" collapsed="false">
      <c r="A203" s="27" t="n">
        <v>2024</v>
      </c>
      <c r="B203" s="27" t="n">
        <v>3</v>
      </c>
      <c r="C203" s="27" t="s">
        <v>38</v>
      </c>
      <c r="D203" s="27" t="s">
        <v>22</v>
      </c>
      <c r="E203" s="27" t="s">
        <v>52</v>
      </c>
      <c r="F203" s="28" t="n">
        <v>5143</v>
      </c>
      <c r="G203" s="29" t="n">
        <v>2590</v>
      </c>
      <c r="H203" s="29" t="n">
        <f aca="false">F203*G203</f>
        <v>13320370</v>
      </c>
    </row>
    <row r="204" customFormat="false" ht="15" hidden="false" customHeight="false" outlineLevel="0" collapsed="false">
      <c r="A204" s="27" t="n">
        <v>2024</v>
      </c>
      <c r="B204" s="27" t="n">
        <v>3</v>
      </c>
      <c r="C204" s="27" t="s">
        <v>38</v>
      </c>
      <c r="D204" s="27" t="s">
        <v>22</v>
      </c>
      <c r="E204" s="27" t="s">
        <v>54</v>
      </c>
      <c r="F204" s="28" t="n">
        <v>4055</v>
      </c>
      <c r="G204" s="29" t="n">
        <v>2590</v>
      </c>
      <c r="H204" s="29" t="n">
        <f aca="false">F204*G204</f>
        <v>10502450</v>
      </c>
    </row>
    <row r="205" customFormat="false" ht="15" hidden="false" customHeight="false" outlineLevel="0" collapsed="false">
      <c r="A205" s="27" t="n">
        <v>2024</v>
      </c>
      <c r="B205" s="27" t="n">
        <v>3</v>
      </c>
      <c r="C205" s="27" t="s">
        <v>38</v>
      </c>
      <c r="D205" s="27" t="s">
        <v>22</v>
      </c>
      <c r="E205" s="27" t="s">
        <v>56</v>
      </c>
      <c r="F205" s="28" t="n">
        <v>4665</v>
      </c>
      <c r="G205" s="29" t="n">
        <v>2620</v>
      </c>
      <c r="H205" s="29" t="n">
        <f aca="false">F205*G205</f>
        <v>12222300</v>
      </c>
    </row>
    <row r="206" customFormat="false" ht="15" hidden="false" customHeight="false" outlineLevel="0" collapsed="false">
      <c r="A206" s="27" t="n">
        <v>2024</v>
      </c>
      <c r="B206" s="27" t="n">
        <v>3</v>
      </c>
      <c r="C206" s="27" t="s">
        <v>38</v>
      </c>
      <c r="D206" s="27" t="s">
        <v>22</v>
      </c>
      <c r="E206" s="27" t="s">
        <v>58</v>
      </c>
      <c r="F206" s="28" t="n">
        <v>2891</v>
      </c>
      <c r="G206" s="29" t="n">
        <v>2570</v>
      </c>
      <c r="H206" s="29" t="n">
        <f aca="false">F206*G206</f>
        <v>7429870</v>
      </c>
    </row>
    <row r="207" customFormat="false" ht="15" hidden="false" customHeight="false" outlineLevel="0" collapsed="false">
      <c r="A207" s="27" t="n">
        <v>2024</v>
      </c>
      <c r="B207" s="27" t="n">
        <v>3</v>
      </c>
      <c r="C207" s="27" t="s">
        <v>38</v>
      </c>
      <c r="D207" s="27" t="s">
        <v>24</v>
      </c>
      <c r="E207" s="27" t="s">
        <v>50</v>
      </c>
      <c r="F207" s="28" t="n">
        <v>3952</v>
      </c>
      <c r="G207" s="29" t="n">
        <v>2360</v>
      </c>
      <c r="H207" s="29" t="n">
        <f aca="false">F207*G207</f>
        <v>9326720</v>
      </c>
    </row>
    <row r="208" customFormat="false" ht="15" hidden="false" customHeight="false" outlineLevel="0" collapsed="false">
      <c r="A208" s="27" t="n">
        <v>2024</v>
      </c>
      <c r="B208" s="27" t="n">
        <v>3</v>
      </c>
      <c r="C208" s="27" t="s">
        <v>38</v>
      </c>
      <c r="D208" s="27" t="s">
        <v>24</v>
      </c>
      <c r="E208" s="27" t="s">
        <v>52</v>
      </c>
      <c r="F208" s="28" t="n">
        <v>2577</v>
      </c>
      <c r="G208" s="29" t="n">
        <v>2440</v>
      </c>
      <c r="H208" s="29" t="n">
        <f aca="false">F208*G208</f>
        <v>6287880</v>
      </c>
    </row>
    <row r="209" customFormat="false" ht="15" hidden="false" customHeight="false" outlineLevel="0" collapsed="false">
      <c r="A209" s="27" t="n">
        <v>2024</v>
      </c>
      <c r="B209" s="27" t="n">
        <v>3</v>
      </c>
      <c r="C209" s="27" t="s">
        <v>38</v>
      </c>
      <c r="D209" s="27" t="s">
        <v>24</v>
      </c>
      <c r="E209" s="27" t="s">
        <v>54</v>
      </c>
      <c r="F209" s="28" t="n">
        <v>2104</v>
      </c>
      <c r="G209" s="29" t="n">
        <v>2420</v>
      </c>
      <c r="H209" s="29" t="n">
        <f aca="false">F209*G209</f>
        <v>5091680</v>
      </c>
    </row>
    <row r="210" customFormat="false" ht="15" hidden="false" customHeight="false" outlineLevel="0" collapsed="false">
      <c r="A210" s="27" t="n">
        <v>2024</v>
      </c>
      <c r="B210" s="27" t="n">
        <v>3</v>
      </c>
      <c r="C210" s="27" t="s">
        <v>38</v>
      </c>
      <c r="D210" s="27" t="s">
        <v>24</v>
      </c>
      <c r="E210" s="27" t="s">
        <v>56</v>
      </c>
      <c r="F210" s="28" t="n">
        <v>2672</v>
      </c>
      <c r="G210" s="29" t="n">
        <v>2450</v>
      </c>
      <c r="H210" s="29" t="n">
        <f aca="false">F210*G210</f>
        <v>6546400</v>
      </c>
    </row>
    <row r="211" customFormat="false" ht="15" hidden="false" customHeight="false" outlineLevel="0" collapsed="false">
      <c r="A211" s="27" t="n">
        <v>2024</v>
      </c>
      <c r="B211" s="27" t="n">
        <v>3</v>
      </c>
      <c r="C211" s="27" t="s">
        <v>38</v>
      </c>
      <c r="D211" s="27" t="s">
        <v>24</v>
      </c>
      <c r="E211" s="27" t="s">
        <v>58</v>
      </c>
      <c r="F211" s="28" t="n">
        <v>1728</v>
      </c>
      <c r="G211" s="29" t="n">
        <v>2450</v>
      </c>
      <c r="H211" s="29" t="n">
        <f aca="false">F211*G211</f>
        <v>4233600</v>
      </c>
    </row>
    <row r="212" customFormat="false" ht="15" hidden="false" customHeight="false" outlineLevel="0" collapsed="false">
      <c r="A212" s="27" t="n">
        <v>2024</v>
      </c>
      <c r="B212" s="27" t="n">
        <v>3</v>
      </c>
      <c r="C212" s="27" t="s">
        <v>38</v>
      </c>
      <c r="D212" s="27" t="s">
        <v>26</v>
      </c>
      <c r="E212" s="27" t="s">
        <v>50</v>
      </c>
      <c r="F212" s="28" t="n">
        <v>2065</v>
      </c>
      <c r="G212" s="29" t="n">
        <v>2890</v>
      </c>
      <c r="H212" s="29" t="n">
        <f aca="false">F212*G212</f>
        <v>5967850</v>
      </c>
    </row>
    <row r="213" customFormat="false" ht="15" hidden="false" customHeight="false" outlineLevel="0" collapsed="false">
      <c r="A213" s="27" t="n">
        <v>2024</v>
      </c>
      <c r="B213" s="27" t="n">
        <v>3</v>
      </c>
      <c r="C213" s="27" t="s">
        <v>38</v>
      </c>
      <c r="D213" s="27" t="s">
        <v>26</v>
      </c>
      <c r="E213" s="27" t="s">
        <v>52</v>
      </c>
      <c r="F213" s="28" t="n">
        <v>1246</v>
      </c>
      <c r="G213" s="29" t="n">
        <v>2870</v>
      </c>
      <c r="H213" s="29" t="n">
        <f aca="false">F213*G213</f>
        <v>3576020</v>
      </c>
    </row>
    <row r="214" customFormat="false" ht="15" hidden="false" customHeight="false" outlineLevel="0" collapsed="false">
      <c r="A214" s="27" t="n">
        <v>2024</v>
      </c>
      <c r="B214" s="27" t="n">
        <v>3</v>
      </c>
      <c r="C214" s="27" t="s">
        <v>38</v>
      </c>
      <c r="D214" s="27" t="s">
        <v>26</v>
      </c>
      <c r="E214" s="27" t="s">
        <v>54</v>
      </c>
      <c r="F214" s="28" t="n">
        <v>982</v>
      </c>
      <c r="G214" s="29" t="n">
        <v>2900</v>
      </c>
      <c r="H214" s="29" t="n">
        <f aca="false">F214*G214</f>
        <v>2847800</v>
      </c>
    </row>
    <row r="215" customFormat="false" ht="15" hidden="false" customHeight="false" outlineLevel="0" collapsed="false">
      <c r="A215" s="27" t="n">
        <v>2024</v>
      </c>
      <c r="B215" s="27" t="n">
        <v>3</v>
      </c>
      <c r="C215" s="27" t="s">
        <v>38</v>
      </c>
      <c r="D215" s="27" t="s">
        <v>26</v>
      </c>
      <c r="E215" s="27" t="s">
        <v>56</v>
      </c>
      <c r="F215" s="28" t="n">
        <v>1269</v>
      </c>
      <c r="G215" s="29" t="n">
        <v>2960</v>
      </c>
      <c r="H215" s="29" t="n">
        <f aca="false">F215*G215</f>
        <v>3756240</v>
      </c>
    </row>
    <row r="216" customFormat="false" ht="15" hidden="false" customHeight="false" outlineLevel="0" collapsed="false">
      <c r="A216" s="27" t="n">
        <v>2024</v>
      </c>
      <c r="B216" s="27" t="n">
        <v>3</v>
      </c>
      <c r="C216" s="27" t="s">
        <v>38</v>
      </c>
      <c r="D216" s="27" t="s">
        <v>26</v>
      </c>
      <c r="E216" s="27" t="s">
        <v>58</v>
      </c>
      <c r="F216" s="28" t="n">
        <v>777</v>
      </c>
      <c r="G216" s="29" t="n">
        <v>2920</v>
      </c>
      <c r="H216" s="29" t="n">
        <f aca="false">F216*G216</f>
        <v>2268840</v>
      </c>
    </row>
    <row r="217" customFormat="false" ht="15" hidden="false" customHeight="false" outlineLevel="0" collapsed="false">
      <c r="A217" s="27" t="n">
        <v>2024</v>
      </c>
      <c r="B217" s="27" t="n">
        <v>3</v>
      </c>
      <c r="C217" s="27" t="s">
        <v>38</v>
      </c>
      <c r="D217" s="27" t="s">
        <v>28</v>
      </c>
      <c r="E217" s="27" t="s">
        <v>50</v>
      </c>
      <c r="F217" s="28" t="n">
        <v>749</v>
      </c>
      <c r="G217" s="29" t="n">
        <v>2740</v>
      </c>
      <c r="H217" s="29" t="n">
        <f aca="false">F217*G217</f>
        <v>2052260</v>
      </c>
    </row>
    <row r="218" customFormat="false" ht="15" hidden="false" customHeight="false" outlineLevel="0" collapsed="false">
      <c r="A218" s="27" t="n">
        <v>2024</v>
      </c>
      <c r="B218" s="27" t="n">
        <v>3</v>
      </c>
      <c r="C218" s="27" t="s">
        <v>38</v>
      </c>
      <c r="D218" s="27" t="s">
        <v>28</v>
      </c>
      <c r="E218" s="27" t="s">
        <v>52</v>
      </c>
      <c r="F218" s="28" t="n">
        <v>491</v>
      </c>
      <c r="G218" s="29" t="n">
        <v>2680</v>
      </c>
      <c r="H218" s="29" t="n">
        <f aca="false">F218*G218</f>
        <v>1315880</v>
      </c>
    </row>
    <row r="219" customFormat="false" ht="15" hidden="false" customHeight="false" outlineLevel="0" collapsed="false">
      <c r="A219" s="27" t="n">
        <v>2024</v>
      </c>
      <c r="B219" s="27" t="n">
        <v>3</v>
      </c>
      <c r="C219" s="27" t="s">
        <v>38</v>
      </c>
      <c r="D219" s="27" t="s">
        <v>28</v>
      </c>
      <c r="E219" s="27" t="s">
        <v>54</v>
      </c>
      <c r="F219" s="28" t="n">
        <v>414</v>
      </c>
      <c r="G219" s="29" t="n">
        <v>2710</v>
      </c>
      <c r="H219" s="29" t="n">
        <f aca="false">F219*G219</f>
        <v>1121940</v>
      </c>
    </row>
    <row r="220" customFormat="false" ht="15" hidden="false" customHeight="false" outlineLevel="0" collapsed="false">
      <c r="A220" s="27" t="n">
        <v>2024</v>
      </c>
      <c r="B220" s="27" t="n">
        <v>3</v>
      </c>
      <c r="C220" s="27" t="s">
        <v>38</v>
      </c>
      <c r="D220" s="27" t="s">
        <v>28</v>
      </c>
      <c r="E220" s="27" t="s">
        <v>56</v>
      </c>
      <c r="F220" s="28" t="n">
        <v>457</v>
      </c>
      <c r="G220" s="29" t="n">
        <v>2700</v>
      </c>
      <c r="H220" s="29" t="n">
        <f aca="false">F220*G220</f>
        <v>1233900</v>
      </c>
    </row>
    <row r="221" customFormat="false" ht="15" hidden="false" customHeight="false" outlineLevel="0" collapsed="false">
      <c r="A221" s="27" t="n">
        <v>2024</v>
      </c>
      <c r="B221" s="27" t="n">
        <v>3</v>
      </c>
      <c r="C221" s="27" t="s">
        <v>38</v>
      </c>
      <c r="D221" s="27" t="s">
        <v>28</v>
      </c>
      <c r="E221" s="27" t="s">
        <v>58</v>
      </c>
      <c r="F221" s="28" t="n">
        <v>311</v>
      </c>
      <c r="G221" s="29" t="n">
        <v>2740</v>
      </c>
      <c r="H221" s="29" t="n">
        <f aca="false">F221*G221</f>
        <v>852140</v>
      </c>
    </row>
    <row r="222" customFormat="false" ht="15" hidden="false" customHeight="false" outlineLevel="0" collapsed="false">
      <c r="A222" s="27" t="n">
        <v>2024</v>
      </c>
      <c r="B222" s="27" t="n">
        <v>3</v>
      </c>
      <c r="C222" s="27" t="s">
        <v>40</v>
      </c>
      <c r="D222" s="27" t="s">
        <v>22</v>
      </c>
      <c r="E222" s="27" t="s">
        <v>50</v>
      </c>
      <c r="F222" s="28" t="n">
        <v>4854</v>
      </c>
      <c r="G222" s="29" t="n">
        <v>2310</v>
      </c>
      <c r="H222" s="29" t="n">
        <f aca="false">F222*G222</f>
        <v>11212740</v>
      </c>
    </row>
    <row r="223" customFormat="false" ht="15" hidden="false" customHeight="false" outlineLevel="0" collapsed="false">
      <c r="A223" s="27" t="n">
        <v>2024</v>
      </c>
      <c r="B223" s="27" t="n">
        <v>3</v>
      </c>
      <c r="C223" s="27" t="s">
        <v>40</v>
      </c>
      <c r="D223" s="27" t="s">
        <v>22</v>
      </c>
      <c r="E223" s="27" t="s">
        <v>52</v>
      </c>
      <c r="F223" s="28" t="n">
        <v>3118</v>
      </c>
      <c r="G223" s="29" t="n">
        <v>2330</v>
      </c>
      <c r="H223" s="29" t="n">
        <f aca="false">F223*G223</f>
        <v>7264940</v>
      </c>
    </row>
    <row r="224" customFormat="false" ht="15" hidden="false" customHeight="false" outlineLevel="0" collapsed="false">
      <c r="A224" s="27" t="n">
        <v>2024</v>
      </c>
      <c r="B224" s="27" t="n">
        <v>3</v>
      </c>
      <c r="C224" s="27" t="s">
        <v>40</v>
      </c>
      <c r="D224" s="27" t="s">
        <v>22</v>
      </c>
      <c r="E224" s="27" t="s">
        <v>54</v>
      </c>
      <c r="F224" s="28" t="n">
        <v>2408</v>
      </c>
      <c r="G224" s="29" t="n">
        <v>2270</v>
      </c>
      <c r="H224" s="29" t="n">
        <f aca="false">F224*G224</f>
        <v>5466160</v>
      </c>
    </row>
    <row r="225" customFormat="false" ht="15" hidden="false" customHeight="false" outlineLevel="0" collapsed="false">
      <c r="A225" s="27" t="n">
        <v>2024</v>
      </c>
      <c r="B225" s="27" t="n">
        <v>3</v>
      </c>
      <c r="C225" s="27" t="s">
        <v>40</v>
      </c>
      <c r="D225" s="27" t="s">
        <v>22</v>
      </c>
      <c r="E225" s="27" t="s">
        <v>56</v>
      </c>
      <c r="F225" s="28" t="n">
        <v>3065</v>
      </c>
      <c r="G225" s="29" t="n">
        <v>2290</v>
      </c>
      <c r="H225" s="29" t="n">
        <f aca="false">F225*G225</f>
        <v>7018850</v>
      </c>
    </row>
    <row r="226" customFormat="false" ht="15" hidden="false" customHeight="false" outlineLevel="0" collapsed="false">
      <c r="A226" s="27" t="n">
        <v>2024</v>
      </c>
      <c r="B226" s="27" t="n">
        <v>3</v>
      </c>
      <c r="C226" s="27" t="s">
        <v>40</v>
      </c>
      <c r="D226" s="27" t="s">
        <v>22</v>
      </c>
      <c r="E226" s="27" t="s">
        <v>58</v>
      </c>
      <c r="F226" s="28" t="n">
        <v>2102</v>
      </c>
      <c r="G226" s="29" t="n">
        <v>2310</v>
      </c>
      <c r="H226" s="29" t="n">
        <f aca="false">F226*G226</f>
        <v>4855620</v>
      </c>
    </row>
    <row r="227" customFormat="false" ht="15" hidden="false" customHeight="false" outlineLevel="0" collapsed="false">
      <c r="A227" s="27" t="n">
        <v>2024</v>
      </c>
      <c r="B227" s="27" t="n">
        <v>3</v>
      </c>
      <c r="C227" s="27" t="s">
        <v>40</v>
      </c>
      <c r="D227" s="27" t="s">
        <v>24</v>
      </c>
      <c r="E227" s="27" t="s">
        <v>50</v>
      </c>
      <c r="F227" s="28" t="n">
        <v>2629</v>
      </c>
      <c r="G227" s="29" t="n">
        <v>2150</v>
      </c>
      <c r="H227" s="29" t="n">
        <f aca="false">F227*G227</f>
        <v>5652350</v>
      </c>
    </row>
    <row r="228" customFormat="false" ht="15" hidden="false" customHeight="false" outlineLevel="0" collapsed="false">
      <c r="A228" s="27" t="n">
        <v>2024</v>
      </c>
      <c r="B228" s="27" t="n">
        <v>3</v>
      </c>
      <c r="C228" s="27" t="s">
        <v>40</v>
      </c>
      <c r="D228" s="27" t="s">
        <v>24</v>
      </c>
      <c r="E228" s="27" t="s">
        <v>52</v>
      </c>
      <c r="F228" s="28" t="n">
        <v>1815</v>
      </c>
      <c r="G228" s="29" t="n">
        <v>2180</v>
      </c>
      <c r="H228" s="29" t="n">
        <f aca="false">F228*G228</f>
        <v>3956700</v>
      </c>
    </row>
    <row r="229" customFormat="false" ht="15" hidden="false" customHeight="false" outlineLevel="0" collapsed="false">
      <c r="A229" s="27" t="n">
        <v>2024</v>
      </c>
      <c r="B229" s="27" t="n">
        <v>3</v>
      </c>
      <c r="C229" s="27" t="s">
        <v>40</v>
      </c>
      <c r="D229" s="27" t="s">
        <v>24</v>
      </c>
      <c r="E229" s="27" t="s">
        <v>54</v>
      </c>
      <c r="F229" s="28" t="n">
        <v>1328</v>
      </c>
      <c r="G229" s="29" t="n">
        <v>2140</v>
      </c>
      <c r="H229" s="29" t="n">
        <f aca="false">F229*G229</f>
        <v>2841920</v>
      </c>
    </row>
    <row r="230" customFormat="false" ht="15" hidden="false" customHeight="false" outlineLevel="0" collapsed="false">
      <c r="A230" s="27" t="n">
        <v>2024</v>
      </c>
      <c r="B230" s="27" t="n">
        <v>3</v>
      </c>
      <c r="C230" s="27" t="s">
        <v>40</v>
      </c>
      <c r="D230" s="27" t="s">
        <v>24</v>
      </c>
      <c r="E230" s="27" t="s">
        <v>56</v>
      </c>
      <c r="F230" s="28" t="n">
        <v>1656</v>
      </c>
      <c r="G230" s="29" t="n">
        <v>2120</v>
      </c>
      <c r="H230" s="29" t="n">
        <f aca="false">F230*G230</f>
        <v>3510720</v>
      </c>
    </row>
    <row r="231" customFormat="false" ht="15" hidden="false" customHeight="false" outlineLevel="0" collapsed="false">
      <c r="A231" s="27" t="n">
        <v>2024</v>
      </c>
      <c r="B231" s="27" t="n">
        <v>3</v>
      </c>
      <c r="C231" s="27" t="s">
        <v>40</v>
      </c>
      <c r="D231" s="27" t="s">
        <v>24</v>
      </c>
      <c r="E231" s="27" t="s">
        <v>58</v>
      </c>
      <c r="F231" s="28" t="n">
        <v>1093</v>
      </c>
      <c r="G231" s="29" t="n">
        <v>2140</v>
      </c>
      <c r="H231" s="29" t="n">
        <f aca="false">F231*G231</f>
        <v>2339020</v>
      </c>
    </row>
    <row r="232" customFormat="false" ht="15" hidden="false" customHeight="false" outlineLevel="0" collapsed="false">
      <c r="A232" s="27" t="n">
        <v>2024</v>
      </c>
      <c r="B232" s="27" t="n">
        <v>3</v>
      </c>
      <c r="C232" s="27" t="s">
        <v>40</v>
      </c>
      <c r="D232" s="27" t="s">
        <v>26</v>
      </c>
      <c r="E232" s="27" t="s">
        <v>50</v>
      </c>
      <c r="F232" s="28" t="n">
        <v>1294</v>
      </c>
      <c r="G232" s="29" t="n">
        <v>2550</v>
      </c>
      <c r="H232" s="29" t="n">
        <f aca="false">F232*G232</f>
        <v>3299700</v>
      </c>
    </row>
    <row r="233" customFormat="false" ht="15" hidden="false" customHeight="false" outlineLevel="0" collapsed="false">
      <c r="A233" s="27" t="n">
        <v>2024</v>
      </c>
      <c r="B233" s="27" t="n">
        <v>3</v>
      </c>
      <c r="C233" s="27" t="s">
        <v>40</v>
      </c>
      <c r="D233" s="27" t="s">
        <v>26</v>
      </c>
      <c r="E233" s="27" t="s">
        <v>52</v>
      </c>
      <c r="F233" s="28" t="n">
        <v>733</v>
      </c>
      <c r="G233" s="29" t="n">
        <v>2520</v>
      </c>
      <c r="H233" s="29" t="n">
        <f aca="false">F233*G233</f>
        <v>1847160</v>
      </c>
    </row>
    <row r="234" customFormat="false" ht="15" hidden="false" customHeight="false" outlineLevel="0" collapsed="false">
      <c r="A234" s="27" t="n">
        <v>2024</v>
      </c>
      <c r="B234" s="27" t="n">
        <v>3</v>
      </c>
      <c r="C234" s="27" t="s">
        <v>40</v>
      </c>
      <c r="D234" s="27" t="s">
        <v>26</v>
      </c>
      <c r="E234" s="27" t="s">
        <v>54</v>
      </c>
      <c r="F234" s="28" t="n">
        <v>601</v>
      </c>
      <c r="G234" s="29" t="n">
        <v>2560</v>
      </c>
      <c r="H234" s="29" t="n">
        <f aca="false">F234*G234</f>
        <v>1538560</v>
      </c>
    </row>
    <row r="235" customFormat="false" ht="15" hidden="false" customHeight="false" outlineLevel="0" collapsed="false">
      <c r="A235" s="27" t="n">
        <v>2024</v>
      </c>
      <c r="B235" s="27" t="n">
        <v>3</v>
      </c>
      <c r="C235" s="27" t="s">
        <v>40</v>
      </c>
      <c r="D235" s="27" t="s">
        <v>26</v>
      </c>
      <c r="E235" s="27" t="s">
        <v>56</v>
      </c>
      <c r="F235" s="28" t="n">
        <v>745</v>
      </c>
      <c r="G235" s="29" t="n">
        <v>2630</v>
      </c>
      <c r="H235" s="29" t="n">
        <f aca="false">F235*G235</f>
        <v>1959350</v>
      </c>
    </row>
    <row r="236" customFormat="false" ht="15" hidden="false" customHeight="false" outlineLevel="0" collapsed="false">
      <c r="A236" s="27" t="n">
        <v>2024</v>
      </c>
      <c r="B236" s="27" t="n">
        <v>3</v>
      </c>
      <c r="C236" s="27" t="s">
        <v>40</v>
      </c>
      <c r="D236" s="27" t="s">
        <v>26</v>
      </c>
      <c r="E236" s="27" t="s">
        <v>58</v>
      </c>
      <c r="F236" s="28" t="n">
        <v>546</v>
      </c>
      <c r="G236" s="29" t="n">
        <v>2550</v>
      </c>
      <c r="H236" s="29" t="n">
        <f aca="false">F236*G236</f>
        <v>1392300</v>
      </c>
    </row>
    <row r="237" customFormat="false" ht="15" hidden="false" customHeight="false" outlineLevel="0" collapsed="false">
      <c r="A237" s="27" t="n">
        <v>2024</v>
      </c>
      <c r="B237" s="27" t="n">
        <v>3</v>
      </c>
      <c r="C237" s="27" t="s">
        <v>40</v>
      </c>
      <c r="D237" s="27" t="s">
        <v>28</v>
      </c>
      <c r="E237" s="27" t="s">
        <v>50</v>
      </c>
      <c r="F237" s="28" t="n">
        <v>499</v>
      </c>
      <c r="G237" s="29" t="n">
        <v>2410</v>
      </c>
      <c r="H237" s="29" t="n">
        <f aca="false">F237*G237</f>
        <v>1202590</v>
      </c>
    </row>
    <row r="238" customFormat="false" ht="15" hidden="false" customHeight="false" outlineLevel="0" collapsed="false">
      <c r="A238" s="27" t="n">
        <v>2024</v>
      </c>
      <c r="B238" s="27" t="n">
        <v>3</v>
      </c>
      <c r="C238" s="27" t="s">
        <v>40</v>
      </c>
      <c r="D238" s="27" t="s">
        <v>28</v>
      </c>
      <c r="E238" s="27" t="s">
        <v>52</v>
      </c>
      <c r="F238" s="28" t="n">
        <v>302</v>
      </c>
      <c r="G238" s="29" t="n">
        <v>2420</v>
      </c>
      <c r="H238" s="29" t="n">
        <f aca="false">F238*G238</f>
        <v>730840</v>
      </c>
    </row>
    <row r="239" customFormat="false" ht="15" hidden="false" customHeight="false" outlineLevel="0" collapsed="false">
      <c r="A239" s="27" t="n">
        <v>2024</v>
      </c>
      <c r="B239" s="27" t="n">
        <v>3</v>
      </c>
      <c r="C239" s="27" t="s">
        <v>40</v>
      </c>
      <c r="D239" s="27" t="s">
        <v>28</v>
      </c>
      <c r="E239" s="27" t="s">
        <v>54</v>
      </c>
      <c r="F239" s="28" t="n">
        <v>253</v>
      </c>
      <c r="G239" s="29" t="n">
        <v>2410</v>
      </c>
      <c r="H239" s="29" t="n">
        <f aca="false">F239*G239</f>
        <v>609730</v>
      </c>
    </row>
    <row r="240" customFormat="false" ht="15" hidden="false" customHeight="false" outlineLevel="0" collapsed="false">
      <c r="A240" s="27" t="n">
        <v>2024</v>
      </c>
      <c r="B240" s="27" t="n">
        <v>3</v>
      </c>
      <c r="C240" s="27" t="s">
        <v>40</v>
      </c>
      <c r="D240" s="27" t="s">
        <v>28</v>
      </c>
      <c r="E240" s="27" t="s">
        <v>56</v>
      </c>
      <c r="F240" s="28" t="n">
        <v>306</v>
      </c>
      <c r="G240" s="29" t="n">
        <v>2390</v>
      </c>
      <c r="H240" s="29" t="n">
        <f aca="false">F240*G240</f>
        <v>731340</v>
      </c>
    </row>
    <row r="241" customFormat="false" ht="15" hidden="false" customHeight="false" outlineLevel="0" collapsed="false">
      <c r="A241" s="27" t="n">
        <v>2024</v>
      </c>
      <c r="B241" s="27" t="n">
        <v>3</v>
      </c>
      <c r="C241" s="27" t="s">
        <v>40</v>
      </c>
      <c r="D241" s="27" t="s">
        <v>28</v>
      </c>
      <c r="E241" s="27" t="s">
        <v>58</v>
      </c>
      <c r="F241" s="28" t="n">
        <v>199</v>
      </c>
      <c r="G241" s="29" t="n">
        <v>2480</v>
      </c>
      <c r="H241" s="29" t="n">
        <f aca="false">F241*G241</f>
        <v>493520</v>
      </c>
    </row>
    <row r="242" customFormat="false" ht="15" hidden="false" customHeight="false" outlineLevel="0" collapsed="false">
      <c r="A242" s="27" t="n">
        <v>2024</v>
      </c>
      <c r="B242" s="27" t="n">
        <v>3</v>
      </c>
      <c r="C242" s="27" t="s">
        <v>42</v>
      </c>
      <c r="D242" s="27" t="s">
        <v>22</v>
      </c>
      <c r="E242" s="27" t="s">
        <v>50</v>
      </c>
      <c r="F242" s="28" t="n">
        <v>4396</v>
      </c>
      <c r="G242" s="29" t="n">
        <v>2130</v>
      </c>
      <c r="H242" s="29" t="n">
        <f aca="false">F242*G242</f>
        <v>9363480</v>
      </c>
    </row>
    <row r="243" customFormat="false" ht="15" hidden="false" customHeight="false" outlineLevel="0" collapsed="false">
      <c r="A243" s="27" t="n">
        <v>2024</v>
      </c>
      <c r="B243" s="27" t="n">
        <v>3</v>
      </c>
      <c r="C243" s="27" t="s">
        <v>42</v>
      </c>
      <c r="D243" s="27" t="s">
        <v>22</v>
      </c>
      <c r="E243" s="27" t="s">
        <v>52</v>
      </c>
      <c r="F243" s="28" t="n">
        <v>2729</v>
      </c>
      <c r="G243" s="29" t="n">
        <v>2110</v>
      </c>
      <c r="H243" s="29" t="n">
        <f aca="false">F243*G243</f>
        <v>5758190</v>
      </c>
    </row>
    <row r="244" customFormat="false" ht="15" hidden="false" customHeight="false" outlineLevel="0" collapsed="false">
      <c r="A244" s="27" t="n">
        <v>2024</v>
      </c>
      <c r="B244" s="27" t="n">
        <v>3</v>
      </c>
      <c r="C244" s="27" t="s">
        <v>42</v>
      </c>
      <c r="D244" s="27" t="s">
        <v>22</v>
      </c>
      <c r="E244" s="27" t="s">
        <v>54</v>
      </c>
      <c r="F244" s="28" t="n">
        <v>2167</v>
      </c>
      <c r="G244" s="29" t="n">
        <v>2100</v>
      </c>
      <c r="H244" s="29" t="n">
        <f aca="false">F244*G244</f>
        <v>4550700</v>
      </c>
    </row>
    <row r="245" customFormat="false" ht="15" hidden="false" customHeight="false" outlineLevel="0" collapsed="false">
      <c r="A245" s="27" t="n">
        <v>2024</v>
      </c>
      <c r="B245" s="27" t="n">
        <v>3</v>
      </c>
      <c r="C245" s="27" t="s">
        <v>42</v>
      </c>
      <c r="D245" s="27" t="s">
        <v>22</v>
      </c>
      <c r="E245" s="27" t="s">
        <v>56</v>
      </c>
      <c r="F245" s="28" t="n">
        <v>2481</v>
      </c>
      <c r="G245" s="29" t="n">
        <v>2110</v>
      </c>
      <c r="H245" s="29" t="n">
        <f aca="false">F245*G245</f>
        <v>5234910</v>
      </c>
    </row>
    <row r="246" customFormat="false" ht="15" hidden="false" customHeight="false" outlineLevel="0" collapsed="false">
      <c r="A246" s="27" t="n">
        <v>2024</v>
      </c>
      <c r="B246" s="27" t="n">
        <v>3</v>
      </c>
      <c r="C246" s="27" t="s">
        <v>42</v>
      </c>
      <c r="D246" s="27" t="s">
        <v>22</v>
      </c>
      <c r="E246" s="27" t="s">
        <v>58</v>
      </c>
      <c r="F246" s="28" t="n">
        <v>1691</v>
      </c>
      <c r="G246" s="29" t="n">
        <v>2110</v>
      </c>
      <c r="H246" s="29" t="n">
        <f aca="false">F246*G246</f>
        <v>3568010</v>
      </c>
    </row>
    <row r="247" customFormat="false" ht="15" hidden="false" customHeight="false" outlineLevel="0" collapsed="false">
      <c r="A247" s="27" t="n">
        <v>2024</v>
      </c>
      <c r="B247" s="27" t="n">
        <v>3</v>
      </c>
      <c r="C247" s="27" t="s">
        <v>42</v>
      </c>
      <c r="D247" s="27" t="s">
        <v>24</v>
      </c>
      <c r="E247" s="27" t="s">
        <v>50</v>
      </c>
      <c r="F247" s="28" t="n">
        <v>2475</v>
      </c>
      <c r="G247" s="29" t="n">
        <v>1960</v>
      </c>
      <c r="H247" s="29" t="n">
        <f aca="false">F247*G247</f>
        <v>4851000</v>
      </c>
    </row>
    <row r="248" customFormat="false" ht="15" hidden="false" customHeight="false" outlineLevel="0" collapsed="false">
      <c r="A248" s="27" t="n">
        <v>2024</v>
      </c>
      <c r="B248" s="27" t="n">
        <v>3</v>
      </c>
      <c r="C248" s="27" t="s">
        <v>42</v>
      </c>
      <c r="D248" s="27" t="s">
        <v>24</v>
      </c>
      <c r="E248" s="27" t="s">
        <v>52</v>
      </c>
      <c r="F248" s="28" t="n">
        <v>1446</v>
      </c>
      <c r="G248" s="29" t="n">
        <v>1960</v>
      </c>
      <c r="H248" s="29" t="n">
        <f aca="false">F248*G248</f>
        <v>2834160</v>
      </c>
    </row>
    <row r="249" customFormat="false" ht="15" hidden="false" customHeight="false" outlineLevel="0" collapsed="false">
      <c r="A249" s="27" t="n">
        <v>2024</v>
      </c>
      <c r="B249" s="27" t="n">
        <v>3</v>
      </c>
      <c r="C249" s="27" t="s">
        <v>42</v>
      </c>
      <c r="D249" s="27" t="s">
        <v>24</v>
      </c>
      <c r="E249" s="27" t="s">
        <v>54</v>
      </c>
      <c r="F249" s="28" t="n">
        <v>1156</v>
      </c>
      <c r="G249" s="29" t="n">
        <v>1970</v>
      </c>
      <c r="H249" s="29" t="n">
        <f aca="false">F249*G249</f>
        <v>2277320</v>
      </c>
    </row>
    <row r="250" customFormat="false" ht="15" hidden="false" customHeight="false" outlineLevel="0" collapsed="false">
      <c r="A250" s="27" t="n">
        <v>2024</v>
      </c>
      <c r="B250" s="27" t="n">
        <v>3</v>
      </c>
      <c r="C250" s="27" t="s">
        <v>42</v>
      </c>
      <c r="D250" s="27" t="s">
        <v>24</v>
      </c>
      <c r="E250" s="27" t="s">
        <v>56</v>
      </c>
      <c r="F250" s="28" t="n">
        <v>1266</v>
      </c>
      <c r="G250" s="29" t="n">
        <v>1950</v>
      </c>
      <c r="H250" s="29" t="n">
        <f aca="false">F250*G250</f>
        <v>2468700</v>
      </c>
    </row>
    <row r="251" customFormat="false" ht="15" hidden="false" customHeight="false" outlineLevel="0" collapsed="false">
      <c r="A251" s="27" t="n">
        <v>2024</v>
      </c>
      <c r="B251" s="27" t="n">
        <v>3</v>
      </c>
      <c r="C251" s="27" t="s">
        <v>42</v>
      </c>
      <c r="D251" s="27" t="s">
        <v>24</v>
      </c>
      <c r="E251" s="27" t="s">
        <v>58</v>
      </c>
      <c r="F251" s="28" t="n">
        <v>859</v>
      </c>
      <c r="G251" s="29" t="n">
        <v>1920</v>
      </c>
      <c r="H251" s="29" t="n">
        <f aca="false">F251*G251</f>
        <v>1649280</v>
      </c>
    </row>
    <row r="252" customFormat="false" ht="15" hidden="false" customHeight="false" outlineLevel="0" collapsed="false">
      <c r="A252" s="27" t="n">
        <v>2024</v>
      </c>
      <c r="B252" s="27" t="n">
        <v>3</v>
      </c>
      <c r="C252" s="27" t="s">
        <v>42</v>
      </c>
      <c r="D252" s="27" t="s">
        <v>26</v>
      </c>
      <c r="E252" s="27" t="s">
        <v>50</v>
      </c>
      <c r="F252" s="28" t="n">
        <v>1207</v>
      </c>
      <c r="G252" s="29" t="n">
        <v>2370</v>
      </c>
      <c r="H252" s="29" t="n">
        <f aca="false">F252*G252</f>
        <v>2860590</v>
      </c>
    </row>
    <row r="253" customFormat="false" ht="15" hidden="false" customHeight="false" outlineLevel="0" collapsed="false">
      <c r="A253" s="27" t="n">
        <v>2024</v>
      </c>
      <c r="B253" s="27" t="n">
        <v>3</v>
      </c>
      <c r="C253" s="27" t="s">
        <v>42</v>
      </c>
      <c r="D253" s="27" t="s">
        <v>26</v>
      </c>
      <c r="E253" s="27" t="s">
        <v>52</v>
      </c>
      <c r="F253" s="28" t="n">
        <v>681</v>
      </c>
      <c r="G253" s="29" t="n">
        <v>2320</v>
      </c>
      <c r="H253" s="29" t="n">
        <f aca="false">F253*G253</f>
        <v>1579920</v>
      </c>
    </row>
    <row r="254" customFormat="false" ht="15" hidden="false" customHeight="false" outlineLevel="0" collapsed="false">
      <c r="A254" s="27" t="n">
        <v>2024</v>
      </c>
      <c r="B254" s="27" t="n">
        <v>3</v>
      </c>
      <c r="C254" s="27" t="s">
        <v>42</v>
      </c>
      <c r="D254" s="27" t="s">
        <v>26</v>
      </c>
      <c r="E254" s="27" t="s">
        <v>54</v>
      </c>
      <c r="F254" s="28" t="n">
        <v>481</v>
      </c>
      <c r="G254" s="29" t="n">
        <v>2340</v>
      </c>
      <c r="H254" s="29" t="n">
        <f aca="false">F254*G254</f>
        <v>1125540</v>
      </c>
    </row>
    <row r="255" customFormat="false" ht="15" hidden="false" customHeight="false" outlineLevel="0" collapsed="false">
      <c r="A255" s="27" t="n">
        <v>2024</v>
      </c>
      <c r="B255" s="27" t="n">
        <v>3</v>
      </c>
      <c r="C255" s="27" t="s">
        <v>42</v>
      </c>
      <c r="D255" s="27" t="s">
        <v>26</v>
      </c>
      <c r="E255" s="27" t="s">
        <v>56</v>
      </c>
      <c r="F255" s="28" t="n">
        <v>752</v>
      </c>
      <c r="G255" s="29" t="n">
        <v>2360</v>
      </c>
      <c r="H255" s="29" t="n">
        <f aca="false">F255*G255</f>
        <v>1774720</v>
      </c>
    </row>
    <row r="256" customFormat="false" ht="15" hidden="false" customHeight="false" outlineLevel="0" collapsed="false">
      <c r="A256" s="27" t="n">
        <v>2024</v>
      </c>
      <c r="B256" s="27" t="n">
        <v>3</v>
      </c>
      <c r="C256" s="27" t="s">
        <v>42</v>
      </c>
      <c r="D256" s="27" t="s">
        <v>26</v>
      </c>
      <c r="E256" s="27" t="s">
        <v>58</v>
      </c>
      <c r="F256" s="28" t="n">
        <v>446</v>
      </c>
      <c r="G256" s="29" t="n">
        <v>2360</v>
      </c>
      <c r="H256" s="29" t="n">
        <f aca="false">F256*G256</f>
        <v>1052560</v>
      </c>
    </row>
    <row r="257" customFormat="false" ht="15" hidden="false" customHeight="false" outlineLevel="0" collapsed="false">
      <c r="A257" s="27" t="n">
        <v>2024</v>
      </c>
      <c r="B257" s="27" t="n">
        <v>3</v>
      </c>
      <c r="C257" s="27" t="s">
        <v>42</v>
      </c>
      <c r="D257" s="27" t="s">
        <v>28</v>
      </c>
      <c r="E257" s="27" t="s">
        <v>50</v>
      </c>
      <c r="F257" s="28" t="n">
        <v>401</v>
      </c>
      <c r="G257" s="29" t="n">
        <v>2200</v>
      </c>
      <c r="H257" s="29" t="n">
        <f aca="false">F257*G257</f>
        <v>882200</v>
      </c>
    </row>
    <row r="258" customFormat="false" ht="15" hidden="false" customHeight="false" outlineLevel="0" collapsed="false">
      <c r="A258" s="27" t="n">
        <v>2024</v>
      </c>
      <c r="B258" s="27" t="n">
        <v>3</v>
      </c>
      <c r="C258" s="27" t="s">
        <v>42</v>
      </c>
      <c r="D258" s="27" t="s">
        <v>28</v>
      </c>
      <c r="E258" s="27" t="s">
        <v>52</v>
      </c>
      <c r="F258" s="28" t="n">
        <v>273</v>
      </c>
      <c r="G258" s="29" t="n">
        <v>2200</v>
      </c>
      <c r="H258" s="29" t="n">
        <f aca="false">F258*G258</f>
        <v>600600</v>
      </c>
    </row>
    <row r="259" customFormat="false" ht="15" hidden="false" customHeight="false" outlineLevel="0" collapsed="false">
      <c r="A259" s="27" t="n">
        <v>2024</v>
      </c>
      <c r="B259" s="27" t="n">
        <v>3</v>
      </c>
      <c r="C259" s="27" t="s">
        <v>42</v>
      </c>
      <c r="D259" s="27" t="s">
        <v>28</v>
      </c>
      <c r="E259" s="27" t="s">
        <v>54</v>
      </c>
      <c r="F259" s="28" t="n">
        <v>226</v>
      </c>
      <c r="G259" s="29" t="n">
        <v>2210</v>
      </c>
      <c r="H259" s="29" t="n">
        <f aca="false">F259*G259</f>
        <v>499460</v>
      </c>
    </row>
    <row r="260" customFormat="false" ht="15" hidden="false" customHeight="false" outlineLevel="0" collapsed="false">
      <c r="A260" s="27" t="n">
        <v>2024</v>
      </c>
      <c r="B260" s="27" t="n">
        <v>3</v>
      </c>
      <c r="C260" s="27" t="s">
        <v>42</v>
      </c>
      <c r="D260" s="27" t="s">
        <v>28</v>
      </c>
      <c r="E260" s="27" t="s">
        <v>56</v>
      </c>
      <c r="F260" s="28" t="n">
        <v>267</v>
      </c>
      <c r="G260" s="29" t="n">
        <v>2190</v>
      </c>
      <c r="H260" s="29" t="n">
        <f aca="false">F260*G260</f>
        <v>584730</v>
      </c>
    </row>
    <row r="261" customFormat="false" ht="15" hidden="false" customHeight="false" outlineLevel="0" collapsed="false">
      <c r="A261" s="27" t="n">
        <v>2024</v>
      </c>
      <c r="B261" s="27" t="n">
        <v>3</v>
      </c>
      <c r="C261" s="27" t="s">
        <v>42</v>
      </c>
      <c r="D261" s="27" t="s">
        <v>28</v>
      </c>
      <c r="E261" s="27" t="s">
        <v>58</v>
      </c>
      <c r="F261" s="28" t="n">
        <v>185</v>
      </c>
      <c r="G261" s="29" t="n">
        <v>2240</v>
      </c>
      <c r="H261" s="29" t="n">
        <f aca="false">F261*G261</f>
        <v>414400</v>
      </c>
    </row>
    <row r="262" customFormat="false" ht="15" hidden="false" customHeight="false" outlineLevel="0" collapsed="false">
      <c r="A262" s="27" t="n">
        <v>2024</v>
      </c>
      <c r="B262" s="27" t="n">
        <v>3</v>
      </c>
      <c r="C262" s="27" t="s">
        <v>44</v>
      </c>
      <c r="D262" s="27" t="s">
        <v>22</v>
      </c>
      <c r="E262" s="27" t="s">
        <v>50</v>
      </c>
      <c r="F262" s="28" t="n">
        <v>2256</v>
      </c>
      <c r="G262" s="29" t="n">
        <v>3870</v>
      </c>
      <c r="H262" s="29" t="n">
        <f aca="false">F262*G262</f>
        <v>8730720</v>
      </c>
    </row>
    <row r="263" customFormat="false" ht="15" hidden="false" customHeight="false" outlineLevel="0" collapsed="false">
      <c r="A263" s="27" t="n">
        <v>2024</v>
      </c>
      <c r="B263" s="27" t="n">
        <v>3</v>
      </c>
      <c r="C263" s="27" t="s">
        <v>44</v>
      </c>
      <c r="D263" s="27" t="s">
        <v>22</v>
      </c>
      <c r="E263" s="27" t="s">
        <v>52</v>
      </c>
      <c r="F263" s="28" t="n">
        <v>1581</v>
      </c>
      <c r="G263" s="29" t="n">
        <v>3890</v>
      </c>
      <c r="H263" s="29" t="n">
        <f aca="false">F263*G263</f>
        <v>6150090</v>
      </c>
    </row>
    <row r="264" customFormat="false" ht="15" hidden="false" customHeight="false" outlineLevel="0" collapsed="false">
      <c r="A264" s="27" t="n">
        <v>2024</v>
      </c>
      <c r="B264" s="27" t="n">
        <v>3</v>
      </c>
      <c r="C264" s="27" t="s">
        <v>44</v>
      </c>
      <c r="D264" s="27" t="s">
        <v>22</v>
      </c>
      <c r="E264" s="27" t="s">
        <v>54</v>
      </c>
      <c r="F264" s="28" t="n">
        <v>1269</v>
      </c>
      <c r="G264" s="29" t="n">
        <v>3880</v>
      </c>
      <c r="H264" s="29" t="n">
        <f aca="false">F264*G264</f>
        <v>4923720</v>
      </c>
    </row>
    <row r="265" customFormat="false" ht="15" hidden="false" customHeight="false" outlineLevel="0" collapsed="false">
      <c r="A265" s="27" t="n">
        <v>2024</v>
      </c>
      <c r="B265" s="27" t="n">
        <v>3</v>
      </c>
      <c r="C265" s="27" t="s">
        <v>44</v>
      </c>
      <c r="D265" s="27" t="s">
        <v>22</v>
      </c>
      <c r="E265" s="27" t="s">
        <v>56</v>
      </c>
      <c r="F265" s="28" t="n">
        <v>1510</v>
      </c>
      <c r="G265" s="29" t="n">
        <v>3910</v>
      </c>
      <c r="H265" s="29" t="n">
        <f aca="false">F265*G265</f>
        <v>5904100</v>
      </c>
    </row>
    <row r="266" customFormat="false" ht="15" hidden="false" customHeight="false" outlineLevel="0" collapsed="false">
      <c r="A266" s="27" t="n">
        <v>2024</v>
      </c>
      <c r="B266" s="27" t="n">
        <v>3</v>
      </c>
      <c r="C266" s="27" t="s">
        <v>44</v>
      </c>
      <c r="D266" s="27" t="s">
        <v>22</v>
      </c>
      <c r="E266" s="27" t="s">
        <v>58</v>
      </c>
      <c r="F266" s="28" t="n">
        <v>976</v>
      </c>
      <c r="G266" s="29" t="n">
        <v>3960</v>
      </c>
      <c r="H266" s="29" t="n">
        <f aca="false">F266*G266</f>
        <v>3864960</v>
      </c>
    </row>
    <row r="267" customFormat="false" ht="15" hidden="false" customHeight="false" outlineLevel="0" collapsed="false">
      <c r="A267" s="27" t="n">
        <v>2024</v>
      </c>
      <c r="B267" s="27" t="n">
        <v>3</v>
      </c>
      <c r="C267" s="27" t="s">
        <v>44</v>
      </c>
      <c r="D267" s="27" t="s">
        <v>24</v>
      </c>
      <c r="E267" s="27" t="s">
        <v>50</v>
      </c>
      <c r="F267" s="28" t="n">
        <v>1257</v>
      </c>
      <c r="G267" s="29" t="n">
        <v>3590</v>
      </c>
      <c r="H267" s="29" t="n">
        <f aca="false">F267*G267</f>
        <v>4512630</v>
      </c>
    </row>
    <row r="268" customFormat="false" ht="15" hidden="false" customHeight="false" outlineLevel="0" collapsed="false">
      <c r="A268" s="27" t="n">
        <v>2024</v>
      </c>
      <c r="B268" s="27" t="n">
        <v>3</v>
      </c>
      <c r="C268" s="27" t="s">
        <v>44</v>
      </c>
      <c r="D268" s="27" t="s">
        <v>24</v>
      </c>
      <c r="E268" s="27" t="s">
        <v>52</v>
      </c>
      <c r="F268" s="28" t="n">
        <v>782</v>
      </c>
      <c r="G268" s="29" t="n">
        <v>3640</v>
      </c>
      <c r="H268" s="29" t="n">
        <f aca="false">F268*G268</f>
        <v>2846480</v>
      </c>
    </row>
    <row r="269" customFormat="false" ht="15" hidden="false" customHeight="false" outlineLevel="0" collapsed="false">
      <c r="A269" s="27" t="n">
        <v>2024</v>
      </c>
      <c r="B269" s="27" t="n">
        <v>3</v>
      </c>
      <c r="C269" s="27" t="s">
        <v>44</v>
      </c>
      <c r="D269" s="27" t="s">
        <v>24</v>
      </c>
      <c r="E269" s="27" t="s">
        <v>54</v>
      </c>
      <c r="F269" s="28" t="n">
        <v>590</v>
      </c>
      <c r="G269" s="29" t="n">
        <v>3650</v>
      </c>
      <c r="H269" s="29" t="n">
        <f aca="false">F269*G269</f>
        <v>2153500</v>
      </c>
    </row>
    <row r="270" customFormat="false" ht="15" hidden="false" customHeight="false" outlineLevel="0" collapsed="false">
      <c r="A270" s="27" t="n">
        <v>2024</v>
      </c>
      <c r="B270" s="27" t="n">
        <v>3</v>
      </c>
      <c r="C270" s="27" t="s">
        <v>44</v>
      </c>
      <c r="D270" s="27" t="s">
        <v>24</v>
      </c>
      <c r="E270" s="27" t="s">
        <v>56</v>
      </c>
      <c r="F270" s="28" t="n">
        <v>740</v>
      </c>
      <c r="G270" s="29" t="n">
        <v>3670</v>
      </c>
      <c r="H270" s="29" t="n">
        <f aca="false">F270*G270</f>
        <v>2715800</v>
      </c>
    </row>
    <row r="271" customFormat="false" ht="15" hidden="false" customHeight="false" outlineLevel="0" collapsed="false">
      <c r="A271" s="27" t="n">
        <v>2024</v>
      </c>
      <c r="B271" s="27" t="n">
        <v>3</v>
      </c>
      <c r="C271" s="27" t="s">
        <v>44</v>
      </c>
      <c r="D271" s="27" t="s">
        <v>24</v>
      </c>
      <c r="E271" s="27" t="s">
        <v>58</v>
      </c>
      <c r="F271" s="28" t="n">
        <v>458</v>
      </c>
      <c r="G271" s="29" t="n">
        <v>3600</v>
      </c>
      <c r="H271" s="29" t="n">
        <f aca="false">F271*G271</f>
        <v>1648800</v>
      </c>
    </row>
    <row r="272" customFormat="false" ht="15" hidden="false" customHeight="false" outlineLevel="0" collapsed="false">
      <c r="A272" s="27" t="n">
        <v>2024</v>
      </c>
      <c r="B272" s="27" t="n">
        <v>3</v>
      </c>
      <c r="C272" s="27" t="s">
        <v>44</v>
      </c>
      <c r="D272" s="27" t="s">
        <v>26</v>
      </c>
      <c r="E272" s="27" t="s">
        <v>50</v>
      </c>
      <c r="F272" s="28" t="n">
        <v>565</v>
      </c>
      <c r="G272" s="29" t="n">
        <v>4330</v>
      </c>
      <c r="H272" s="29" t="n">
        <f aca="false">F272*G272</f>
        <v>2446450</v>
      </c>
    </row>
    <row r="273" customFormat="false" ht="15" hidden="false" customHeight="false" outlineLevel="0" collapsed="false">
      <c r="A273" s="27" t="n">
        <v>2024</v>
      </c>
      <c r="B273" s="27" t="n">
        <v>3</v>
      </c>
      <c r="C273" s="27" t="s">
        <v>44</v>
      </c>
      <c r="D273" s="27" t="s">
        <v>26</v>
      </c>
      <c r="E273" s="27" t="s">
        <v>52</v>
      </c>
      <c r="F273" s="28" t="n">
        <v>390</v>
      </c>
      <c r="G273" s="29" t="n">
        <v>4360</v>
      </c>
      <c r="H273" s="29" t="n">
        <f aca="false">F273*G273</f>
        <v>1700400</v>
      </c>
    </row>
    <row r="274" customFormat="false" ht="15" hidden="false" customHeight="false" outlineLevel="0" collapsed="false">
      <c r="A274" s="27" t="n">
        <v>2024</v>
      </c>
      <c r="B274" s="27" t="n">
        <v>3</v>
      </c>
      <c r="C274" s="27" t="s">
        <v>44</v>
      </c>
      <c r="D274" s="27" t="s">
        <v>26</v>
      </c>
      <c r="E274" s="27" t="s">
        <v>54</v>
      </c>
      <c r="F274" s="28" t="n">
        <v>304</v>
      </c>
      <c r="G274" s="29" t="n">
        <v>4360</v>
      </c>
      <c r="H274" s="29" t="n">
        <f aca="false">F274*G274</f>
        <v>1325440</v>
      </c>
    </row>
    <row r="275" customFormat="false" ht="15" hidden="false" customHeight="false" outlineLevel="0" collapsed="false">
      <c r="A275" s="27" t="n">
        <v>2024</v>
      </c>
      <c r="B275" s="27" t="n">
        <v>3</v>
      </c>
      <c r="C275" s="27" t="s">
        <v>44</v>
      </c>
      <c r="D275" s="27" t="s">
        <v>26</v>
      </c>
      <c r="E275" s="27" t="s">
        <v>56</v>
      </c>
      <c r="F275" s="28" t="n">
        <v>370</v>
      </c>
      <c r="G275" s="29" t="n">
        <v>4320</v>
      </c>
      <c r="H275" s="29" t="n">
        <f aca="false">F275*G275</f>
        <v>1598400</v>
      </c>
    </row>
    <row r="276" customFormat="false" ht="15" hidden="false" customHeight="false" outlineLevel="0" collapsed="false">
      <c r="A276" s="27" t="n">
        <v>2024</v>
      </c>
      <c r="B276" s="27" t="n">
        <v>3</v>
      </c>
      <c r="C276" s="27" t="s">
        <v>44</v>
      </c>
      <c r="D276" s="27" t="s">
        <v>26</v>
      </c>
      <c r="E276" s="27" t="s">
        <v>58</v>
      </c>
      <c r="F276" s="28" t="n">
        <v>259</v>
      </c>
      <c r="G276" s="29" t="n">
        <v>4400</v>
      </c>
      <c r="H276" s="29" t="n">
        <f aca="false">F276*G276</f>
        <v>1139600</v>
      </c>
    </row>
    <row r="277" customFormat="false" ht="15" hidden="false" customHeight="false" outlineLevel="0" collapsed="false">
      <c r="A277" s="27" t="n">
        <v>2024</v>
      </c>
      <c r="B277" s="27" t="n">
        <v>3</v>
      </c>
      <c r="C277" s="27" t="s">
        <v>44</v>
      </c>
      <c r="D277" s="27" t="s">
        <v>28</v>
      </c>
      <c r="E277" s="27" t="s">
        <v>50</v>
      </c>
      <c r="F277" s="28" t="n">
        <v>242</v>
      </c>
      <c r="G277" s="29" t="n">
        <v>4120</v>
      </c>
      <c r="H277" s="29" t="n">
        <f aca="false">F277*G277</f>
        <v>997040</v>
      </c>
    </row>
    <row r="278" customFormat="false" ht="15" hidden="false" customHeight="false" outlineLevel="0" collapsed="false">
      <c r="A278" s="27" t="n">
        <v>2024</v>
      </c>
      <c r="B278" s="27" t="n">
        <v>3</v>
      </c>
      <c r="C278" s="27" t="s">
        <v>44</v>
      </c>
      <c r="D278" s="27" t="s">
        <v>28</v>
      </c>
      <c r="E278" s="27" t="s">
        <v>52</v>
      </c>
      <c r="F278" s="28" t="n">
        <v>150</v>
      </c>
      <c r="G278" s="29" t="n">
        <v>4180</v>
      </c>
      <c r="H278" s="29" t="n">
        <f aca="false">F278*G278</f>
        <v>627000</v>
      </c>
    </row>
    <row r="279" customFormat="false" ht="15" hidden="false" customHeight="false" outlineLevel="0" collapsed="false">
      <c r="A279" s="27" t="n">
        <v>2024</v>
      </c>
      <c r="B279" s="27" t="n">
        <v>3</v>
      </c>
      <c r="C279" s="27" t="s">
        <v>44</v>
      </c>
      <c r="D279" s="27" t="s">
        <v>28</v>
      </c>
      <c r="E279" s="27" t="s">
        <v>54</v>
      </c>
      <c r="F279" s="28" t="n">
        <v>118</v>
      </c>
      <c r="G279" s="29" t="n">
        <v>4080</v>
      </c>
      <c r="H279" s="29" t="n">
        <f aca="false">F279*G279</f>
        <v>481440</v>
      </c>
    </row>
    <row r="280" customFormat="false" ht="15" hidden="false" customHeight="false" outlineLevel="0" collapsed="false">
      <c r="A280" s="27" t="n">
        <v>2024</v>
      </c>
      <c r="B280" s="27" t="n">
        <v>3</v>
      </c>
      <c r="C280" s="27" t="s">
        <v>44</v>
      </c>
      <c r="D280" s="27" t="s">
        <v>28</v>
      </c>
      <c r="E280" s="27" t="s">
        <v>56</v>
      </c>
      <c r="F280" s="28" t="n">
        <v>135</v>
      </c>
      <c r="G280" s="29" t="n">
        <v>4050</v>
      </c>
      <c r="H280" s="29" t="n">
        <f aca="false">F280*G280</f>
        <v>546750</v>
      </c>
    </row>
    <row r="281" customFormat="false" ht="15" hidden="false" customHeight="false" outlineLevel="0" collapsed="false">
      <c r="A281" s="27" t="n">
        <v>2024</v>
      </c>
      <c r="B281" s="27" t="n">
        <v>3</v>
      </c>
      <c r="C281" s="27" t="s">
        <v>44</v>
      </c>
      <c r="D281" s="27" t="s">
        <v>28</v>
      </c>
      <c r="E281" s="27" t="s">
        <v>58</v>
      </c>
      <c r="F281" s="28" t="n">
        <v>90</v>
      </c>
      <c r="G281" s="29" t="n">
        <v>4060</v>
      </c>
      <c r="H281" s="29" t="n">
        <f aca="false">F281*G281</f>
        <v>365400</v>
      </c>
    </row>
    <row r="282" customFormat="false" ht="15" hidden="false" customHeight="false" outlineLevel="0" collapsed="false">
      <c r="A282" s="27" t="n">
        <v>2024</v>
      </c>
      <c r="B282" s="27" t="n">
        <v>3</v>
      </c>
      <c r="C282" s="27" t="s">
        <v>45</v>
      </c>
      <c r="D282" s="27" t="s">
        <v>22</v>
      </c>
      <c r="E282" s="27" t="s">
        <v>50</v>
      </c>
      <c r="F282" s="28" t="n">
        <v>3150</v>
      </c>
      <c r="G282" s="29" t="n">
        <v>2410</v>
      </c>
      <c r="H282" s="29" t="n">
        <f aca="false">F282*G282</f>
        <v>7591500</v>
      </c>
    </row>
    <row r="283" customFormat="false" ht="15" hidden="false" customHeight="false" outlineLevel="0" collapsed="false">
      <c r="A283" s="27" t="n">
        <v>2024</v>
      </c>
      <c r="B283" s="27" t="n">
        <v>3</v>
      </c>
      <c r="C283" s="27" t="s">
        <v>45</v>
      </c>
      <c r="D283" s="27" t="s">
        <v>22</v>
      </c>
      <c r="E283" s="27" t="s">
        <v>52</v>
      </c>
      <c r="F283" s="28" t="n">
        <v>1981</v>
      </c>
      <c r="G283" s="29" t="n">
        <v>2380</v>
      </c>
      <c r="H283" s="29" t="n">
        <f aca="false">F283*G283</f>
        <v>4714780</v>
      </c>
    </row>
    <row r="284" customFormat="false" ht="15" hidden="false" customHeight="false" outlineLevel="0" collapsed="false">
      <c r="A284" s="27" t="n">
        <v>2024</v>
      </c>
      <c r="B284" s="27" t="n">
        <v>3</v>
      </c>
      <c r="C284" s="27" t="s">
        <v>45</v>
      </c>
      <c r="D284" s="27" t="s">
        <v>22</v>
      </c>
      <c r="E284" s="27" t="s">
        <v>54</v>
      </c>
      <c r="F284" s="28" t="n">
        <v>1652</v>
      </c>
      <c r="G284" s="29" t="n">
        <v>2420</v>
      </c>
      <c r="H284" s="29" t="n">
        <f aca="false">F284*G284</f>
        <v>3997840</v>
      </c>
    </row>
    <row r="285" customFormat="false" ht="15" hidden="false" customHeight="false" outlineLevel="0" collapsed="false">
      <c r="A285" s="27" t="n">
        <v>2024</v>
      </c>
      <c r="B285" s="27" t="n">
        <v>3</v>
      </c>
      <c r="C285" s="27" t="s">
        <v>45</v>
      </c>
      <c r="D285" s="27" t="s">
        <v>22</v>
      </c>
      <c r="E285" s="27" t="s">
        <v>56</v>
      </c>
      <c r="F285" s="28" t="n">
        <v>1862</v>
      </c>
      <c r="G285" s="29" t="n">
        <v>2380</v>
      </c>
      <c r="H285" s="29" t="n">
        <f aca="false">F285*G285</f>
        <v>4431560</v>
      </c>
    </row>
    <row r="286" customFormat="false" ht="15" hidden="false" customHeight="false" outlineLevel="0" collapsed="false">
      <c r="A286" s="27" t="n">
        <v>2024</v>
      </c>
      <c r="B286" s="27" t="n">
        <v>3</v>
      </c>
      <c r="C286" s="27" t="s">
        <v>45</v>
      </c>
      <c r="D286" s="27" t="s">
        <v>22</v>
      </c>
      <c r="E286" s="27" t="s">
        <v>58</v>
      </c>
      <c r="F286" s="28" t="n">
        <v>1320</v>
      </c>
      <c r="G286" s="29" t="n">
        <v>2400</v>
      </c>
      <c r="H286" s="29" t="n">
        <f aca="false">F286*G286</f>
        <v>3168000</v>
      </c>
    </row>
    <row r="287" customFormat="false" ht="15" hidden="false" customHeight="false" outlineLevel="0" collapsed="false">
      <c r="A287" s="27" t="n">
        <v>2024</v>
      </c>
      <c r="B287" s="27" t="n">
        <v>3</v>
      </c>
      <c r="C287" s="27" t="s">
        <v>45</v>
      </c>
      <c r="D287" s="27" t="s">
        <v>24</v>
      </c>
      <c r="E287" s="27" t="s">
        <v>50</v>
      </c>
      <c r="F287" s="28" t="n">
        <v>1584</v>
      </c>
      <c r="G287" s="29" t="n">
        <v>2230</v>
      </c>
      <c r="H287" s="29" t="n">
        <f aca="false">F287*G287</f>
        <v>3532320</v>
      </c>
    </row>
    <row r="288" customFormat="false" ht="15" hidden="false" customHeight="false" outlineLevel="0" collapsed="false">
      <c r="A288" s="27" t="n">
        <v>2024</v>
      </c>
      <c r="B288" s="27" t="n">
        <v>3</v>
      </c>
      <c r="C288" s="27" t="s">
        <v>45</v>
      </c>
      <c r="D288" s="27" t="s">
        <v>24</v>
      </c>
      <c r="E288" s="27" t="s">
        <v>52</v>
      </c>
      <c r="F288" s="28" t="n">
        <v>1081</v>
      </c>
      <c r="G288" s="29" t="n">
        <v>2210</v>
      </c>
      <c r="H288" s="29" t="n">
        <f aca="false">F288*G288</f>
        <v>2389010</v>
      </c>
    </row>
    <row r="289" customFormat="false" ht="15" hidden="false" customHeight="false" outlineLevel="0" collapsed="false">
      <c r="A289" s="27" t="n">
        <v>2024</v>
      </c>
      <c r="B289" s="27" t="n">
        <v>3</v>
      </c>
      <c r="C289" s="27" t="s">
        <v>45</v>
      </c>
      <c r="D289" s="27" t="s">
        <v>24</v>
      </c>
      <c r="E289" s="27" t="s">
        <v>54</v>
      </c>
      <c r="F289" s="28" t="n">
        <v>862</v>
      </c>
      <c r="G289" s="29" t="n">
        <v>2200</v>
      </c>
      <c r="H289" s="29" t="n">
        <f aca="false">F289*G289</f>
        <v>1896400</v>
      </c>
    </row>
    <row r="290" customFormat="false" ht="15" hidden="false" customHeight="false" outlineLevel="0" collapsed="false">
      <c r="A290" s="27" t="n">
        <v>2024</v>
      </c>
      <c r="B290" s="27" t="n">
        <v>3</v>
      </c>
      <c r="C290" s="27" t="s">
        <v>45</v>
      </c>
      <c r="D290" s="27" t="s">
        <v>24</v>
      </c>
      <c r="E290" s="27" t="s">
        <v>56</v>
      </c>
      <c r="F290" s="28" t="n">
        <v>1081</v>
      </c>
      <c r="G290" s="29" t="n">
        <v>2260</v>
      </c>
      <c r="H290" s="29" t="n">
        <f aca="false">F290*G290</f>
        <v>2443060</v>
      </c>
    </row>
    <row r="291" customFormat="false" ht="15" hidden="false" customHeight="false" outlineLevel="0" collapsed="false">
      <c r="A291" s="27" t="n">
        <v>2024</v>
      </c>
      <c r="B291" s="27" t="n">
        <v>3</v>
      </c>
      <c r="C291" s="27" t="s">
        <v>45</v>
      </c>
      <c r="D291" s="27" t="s">
        <v>24</v>
      </c>
      <c r="E291" s="27" t="s">
        <v>58</v>
      </c>
      <c r="F291" s="28" t="n">
        <v>685</v>
      </c>
      <c r="G291" s="29" t="n">
        <v>2240</v>
      </c>
      <c r="H291" s="29" t="n">
        <f aca="false">F291*G291</f>
        <v>1534400</v>
      </c>
    </row>
    <row r="292" customFormat="false" ht="15" hidden="false" customHeight="false" outlineLevel="0" collapsed="false">
      <c r="A292" s="27" t="n">
        <v>2024</v>
      </c>
      <c r="B292" s="27" t="n">
        <v>3</v>
      </c>
      <c r="C292" s="27" t="s">
        <v>45</v>
      </c>
      <c r="D292" s="27" t="s">
        <v>26</v>
      </c>
      <c r="E292" s="27" t="s">
        <v>50</v>
      </c>
      <c r="F292" s="28" t="n">
        <v>723</v>
      </c>
      <c r="G292" s="29" t="n">
        <v>2660</v>
      </c>
      <c r="H292" s="29" t="n">
        <f aca="false">F292*G292</f>
        <v>1923180</v>
      </c>
    </row>
    <row r="293" customFormat="false" ht="15" hidden="false" customHeight="false" outlineLevel="0" collapsed="false">
      <c r="A293" s="27" t="n">
        <v>2024</v>
      </c>
      <c r="B293" s="27" t="n">
        <v>3</v>
      </c>
      <c r="C293" s="27" t="s">
        <v>45</v>
      </c>
      <c r="D293" s="27" t="s">
        <v>26</v>
      </c>
      <c r="E293" s="27" t="s">
        <v>52</v>
      </c>
      <c r="F293" s="28" t="n">
        <v>506</v>
      </c>
      <c r="G293" s="29" t="n">
        <v>2660</v>
      </c>
      <c r="H293" s="29" t="n">
        <f aca="false">F293*G293</f>
        <v>1345960</v>
      </c>
    </row>
    <row r="294" customFormat="false" ht="15" hidden="false" customHeight="false" outlineLevel="0" collapsed="false">
      <c r="A294" s="27" t="n">
        <v>2024</v>
      </c>
      <c r="B294" s="27" t="n">
        <v>3</v>
      </c>
      <c r="C294" s="27" t="s">
        <v>45</v>
      </c>
      <c r="D294" s="27" t="s">
        <v>26</v>
      </c>
      <c r="E294" s="27" t="s">
        <v>54</v>
      </c>
      <c r="F294" s="28" t="n">
        <v>426</v>
      </c>
      <c r="G294" s="29" t="n">
        <v>2740</v>
      </c>
      <c r="H294" s="29" t="n">
        <f aca="false">F294*G294</f>
        <v>1167240</v>
      </c>
    </row>
    <row r="295" customFormat="false" ht="15" hidden="false" customHeight="false" outlineLevel="0" collapsed="false">
      <c r="A295" s="27" t="n">
        <v>2024</v>
      </c>
      <c r="B295" s="27" t="n">
        <v>3</v>
      </c>
      <c r="C295" s="27" t="s">
        <v>45</v>
      </c>
      <c r="D295" s="27" t="s">
        <v>26</v>
      </c>
      <c r="E295" s="27" t="s">
        <v>56</v>
      </c>
      <c r="F295" s="28" t="n">
        <v>459</v>
      </c>
      <c r="G295" s="29" t="n">
        <v>2670</v>
      </c>
      <c r="H295" s="29" t="n">
        <f aca="false">F295*G295</f>
        <v>1225530</v>
      </c>
    </row>
    <row r="296" customFormat="false" ht="15" hidden="false" customHeight="false" outlineLevel="0" collapsed="false">
      <c r="A296" s="27" t="n">
        <v>2024</v>
      </c>
      <c r="B296" s="27" t="n">
        <v>3</v>
      </c>
      <c r="C296" s="27" t="s">
        <v>45</v>
      </c>
      <c r="D296" s="27" t="s">
        <v>26</v>
      </c>
      <c r="E296" s="27" t="s">
        <v>58</v>
      </c>
      <c r="F296" s="28" t="n">
        <v>338</v>
      </c>
      <c r="G296" s="29" t="n">
        <v>2730</v>
      </c>
      <c r="H296" s="29" t="n">
        <f aca="false">F296*G296</f>
        <v>922740</v>
      </c>
    </row>
    <row r="297" customFormat="false" ht="15" hidden="false" customHeight="false" outlineLevel="0" collapsed="false">
      <c r="A297" s="27" t="n">
        <v>2024</v>
      </c>
      <c r="B297" s="27" t="n">
        <v>3</v>
      </c>
      <c r="C297" s="27" t="s">
        <v>45</v>
      </c>
      <c r="D297" s="27" t="s">
        <v>28</v>
      </c>
      <c r="E297" s="27" t="s">
        <v>50</v>
      </c>
      <c r="F297" s="28" t="n">
        <v>297</v>
      </c>
      <c r="G297" s="29" t="n">
        <v>2530</v>
      </c>
      <c r="H297" s="29" t="n">
        <f aca="false">F297*G297</f>
        <v>751410</v>
      </c>
    </row>
    <row r="298" customFormat="false" ht="15" hidden="false" customHeight="false" outlineLevel="0" collapsed="false">
      <c r="A298" s="27" t="n">
        <v>2024</v>
      </c>
      <c r="B298" s="27" t="n">
        <v>3</v>
      </c>
      <c r="C298" s="27" t="s">
        <v>45</v>
      </c>
      <c r="D298" s="27" t="s">
        <v>28</v>
      </c>
      <c r="E298" s="27" t="s">
        <v>52</v>
      </c>
      <c r="F298" s="28" t="n">
        <v>216</v>
      </c>
      <c r="G298" s="29" t="n">
        <v>2480</v>
      </c>
      <c r="H298" s="29" t="n">
        <f aca="false">F298*G298</f>
        <v>535680</v>
      </c>
    </row>
    <row r="299" customFormat="false" ht="15" hidden="false" customHeight="false" outlineLevel="0" collapsed="false">
      <c r="A299" s="27" t="n">
        <v>2024</v>
      </c>
      <c r="B299" s="27" t="n">
        <v>3</v>
      </c>
      <c r="C299" s="27" t="s">
        <v>45</v>
      </c>
      <c r="D299" s="27" t="s">
        <v>28</v>
      </c>
      <c r="E299" s="27" t="s">
        <v>54</v>
      </c>
      <c r="F299" s="28" t="n">
        <v>148</v>
      </c>
      <c r="G299" s="29" t="n">
        <v>2510</v>
      </c>
      <c r="H299" s="29" t="n">
        <f aca="false">F299*G299</f>
        <v>371480</v>
      </c>
    </row>
    <row r="300" customFormat="false" ht="15" hidden="false" customHeight="false" outlineLevel="0" collapsed="false">
      <c r="A300" s="27" t="n">
        <v>2024</v>
      </c>
      <c r="B300" s="27" t="n">
        <v>3</v>
      </c>
      <c r="C300" s="27" t="s">
        <v>45</v>
      </c>
      <c r="D300" s="27" t="s">
        <v>28</v>
      </c>
      <c r="E300" s="27" t="s">
        <v>56</v>
      </c>
      <c r="F300" s="28" t="n">
        <v>183</v>
      </c>
      <c r="G300" s="29" t="n">
        <v>2540</v>
      </c>
      <c r="H300" s="29" t="n">
        <f aca="false">F300*G300</f>
        <v>464820</v>
      </c>
    </row>
    <row r="301" customFormat="false" ht="15" hidden="false" customHeight="false" outlineLevel="0" collapsed="false">
      <c r="A301" s="27" t="n">
        <v>2024</v>
      </c>
      <c r="B301" s="27" t="n">
        <v>3</v>
      </c>
      <c r="C301" s="27" t="s">
        <v>45</v>
      </c>
      <c r="D301" s="27" t="s">
        <v>28</v>
      </c>
      <c r="E301" s="27" t="s">
        <v>58</v>
      </c>
      <c r="F301" s="28" t="n">
        <v>130</v>
      </c>
      <c r="G301" s="29" t="n">
        <v>2480</v>
      </c>
      <c r="H301" s="29" t="n">
        <f aca="false">F301*G301</f>
        <v>322400</v>
      </c>
    </row>
    <row r="302" customFormat="false" ht="15" hidden="false" customHeight="false" outlineLevel="0" collapsed="false">
      <c r="A302" s="27" t="n">
        <v>2024</v>
      </c>
      <c r="B302" s="27" t="n">
        <v>4</v>
      </c>
      <c r="C302" s="27" t="s">
        <v>38</v>
      </c>
      <c r="D302" s="27" t="s">
        <v>22</v>
      </c>
      <c r="E302" s="27" t="s">
        <v>50</v>
      </c>
      <c r="F302" s="28" t="n">
        <v>8278</v>
      </c>
      <c r="G302" s="29" t="n">
        <v>2580</v>
      </c>
      <c r="H302" s="29" t="n">
        <f aca="false">F302*G302</f>
        <v>21357240</v>
      </c>
    </row>
    <row r="303" customFormat="false" ht="15" hidden="false" customHeight="false" outlineLevel="0" collapsed="false">
      <c r="A303" s="27" t="n">
        <v>2024</v>
      </c>
      <c r="B303" s="27" t="n">
        <v>4</v>
      </c>
      <c r="C303" s="27" t="s">
        <v>38</v>
      </c>
      <c r="D303" s="27" t="s">
        <v>22</v>
      </c>
      <c r="E303" s="27" t="s">
        <v>52</v>
      </c>
      <c r="F303" s="28" t="n">
        <v>5365</v>
      </c>
      <c r="G303" s="29" t="n">
        <v>2580</v>
      </c>
      <c r="H303" s="29" t="n">
        <f aca="false">F303*G303</f>
        <v>13841700</v>
      </c>
    </row>
    <row r="304" customFormat="false" ht="15" hidden="false" customHeight="false" outlineLevel="0" collapsed="false">
      <c r="A304" s="27" t="n">
        <v>2024</v>
      </c>
      <c r="B304" s="27" t="n">
        <v>4</v>
      </c>
      <c r="C304" s="27" t="s">
        <v>38</v>
      </c>
      <c r="D304" s="27" t="s">
        <v>22</v>
      </c>
      <c r="E304" s="27" t="s">
        <v>54</v>
      </c>
      <c r="F304" s="28" t="n">
        <v>3907</v>
      </c>
      <c r="G304" s="29" t="n">
        <v>2610</v>
      </c>
      <c r="H304" s="29" t="n">
        <f aca="false">F304*G304</f>
        <v>10197270</v>
      </c>
    </row>
    <row r="305" customFormat="false" ht="15" hidden="false" customHeight="false" outlineLevel="0" collapsed="false">
      <c r="A305" s="27" t="n">
        <v>2024</v>
      </c>
      <c r="B305" s="27" t="n">
        <v>4</v>
      </c>
      <c r="C305" s="27" t="s">
        <v>38</v>
      </c>
      <c r="D305" s="27" t="s">
        <v>22</v>
      </c>
      <c r="E305" s="27" t="s">
        <v>56</v>
      </c>
      <c r="F305" s="28" t="n">
        <v>4975</v>
      </c>
      <c r="G305" s="29" t="n">
        <v>2610</v>
      </c>
      <c r="H305" s="29" t="n">
        <f aca="false">F305*G305</f>
        <v>12984750</v>
      </c>
    </row>
    <row r="306" customFormat="false" ht="15" hidden="false" customHeight="false" outlineLevel="0" collapsed="false">
      <c r="A306" s="27" t="n">
        <v>2024</v>
      </c>
      <c r="B306" s="27" t="n">
        <v>4</v>
      </c>
      <c r="C306" s="27" t="s">
        <v>38</v>
      </c>
      <c r="D306" s="27" t="s">
        <v>22</v>
      </c>
      <c r="E306" s="27" t="s">
        <v>58</v>
      </c>
      <c r="F306" s="28" t="n">
        <v>3002</v>
      </c>
      <c r="G306" s="29" t="n">
        <v>2610</v>
      </c>
      <c r="H306" s="29" t="n">
        <f aca="false">F306*G306</f>
        <v>7835220</v>
      </c>
    </row>
    <row r="307" customFormat="false" ht="15" hidden="false" customHeight="false" outlineLevel="0" collapsed="false">
      <c r="A307" s="27" t="n">
        <v>2024</v>
      </c>
      <c r="B307" s="27" t="n">
        <v>4</v>
      </c>
      <c r="C307" s="27" t="s">
        <v>38</v>
      </c>
      <c r="D307" s="27" t="s">
        <v>24</v>
      </c>
      <c r="E307" s="27" t="s">
        <v>50</v>
      </c>
      <c r="F307" s="28" t="n">
        <v>4133</v>
      </c>
      <c r="G307" s="29" t="n">
        <v>2420</v>
      </c>
      <c r="H307" s="29" t="n">
        <f aca="false">F307*G307</f>
        <v>10001860</v>
      </c>
    </row>
    <row r="308" customFormat="false" ht="15" hidden="false" customHeight="false" outlineLevel="0" collapsed="false">
      <c r="A308" s="27" t="n">
        <v>2024</v>
      </c>
      <c r="B308" s="27" t="n">
        <v>4</v>
      </c>
      <c r="C308" s="27" t="s">
        <v>38</v>
      </c>
      <c r="D308" s="27" t="s">
        <v>24</v>
      </c>
      <c r="E308" s="27" t="s">
        <v>52</v>
      </c>
      <c r="F308" s="28" t="n">
        <v>2530</v>
      </c>
      <c r="G308" s="29" t="n">
        <v>2430</v>
      </c>
      <c r="H308" s="29" t="n">
        <f aca="false">F308*G308</f>
        <v>6147900</v>
      </c>
    </row>
    <row r="309" customFormat="false" ht="15" hidden="false" customHeight="false" outlineLevel="0" collapsed="false">
      <c r="A309" s="27" t="n">
        <v>2024</v>
      </c>
      <c r="B309" s="27" t="n">
        <v>4</v>
      </c>
      <c r="C309" s="27" t="s">
        <v>38</v>
      </c>
      <c r="D309" s="27" t="s">
        <v>24</v>
      </c>
      <c r="E309" s="27" t="s">
        <v>54</v>
      </c>
      <c r="F309" s="28" t="n">
        <v>2091</v>
      </c>
      <c r="G309" s="29" t="n">
        <v>2390</v>
      </c>
      <c r="H309" s="29" t="n">
        <f aca="false">F309*G309</f>
        <v>4997490</v>
      </c>
    </row>
    <row r="310" customFormat="false" ht="15" hidden="false" customHeight="false" outlineLevel="0" collapsed="false">
      <c r="A310" s="27" t="n">
        <v>2024</v>
      </c>
      <c r="B310" s="27" t="n">
        <v>4</v>
      </c>
      <c r="C310" s="27" t="s">
        <v>38</v>
      </c>
      <c r="D310" s="27" t="s">
        <v>24</v>
      </c>
      <c r="E310" s="27" t="s">
        <v>56</v>
      </c>
      <c r="F310" s="28" t="n">
        <v>2680</v>
      </c>
      <c r="G310" s="29" t="n">
        <v>2420</v>
      </c>
      <c r="H310" s="29" t="n">
        <f aca="false">F310*G310</f>
        <v>6485600</v>
      </c>
    </row>
    <row r="311" customFormat="false" ht="15" hidden="false" customHeight="false" outlineLevel="0" collapsed="false">
      <c r="A311" s="27" t="n">
        <v>2024</v>
      </c>
      <c r="B311" s="27" t="n">
        <v>4</v>
      </c>
      <c r="C311" s="27" t="s">
        <v>38</v>
      </c>
      <c r="D311" s="27" t="s">
        <v>24</v>
      </c>
      <c r="E311" s="27" t="s">
        <v>58</v>
      </c>
      <c r="F311" s="28" t="n">
        <v>1716</v>
      </c>
      <c r="G311" s="29" t="n">
        <v>2450</v>
      </c>
      <c r="H311" s="29" t="n">
        <f aca="false">F311*G311</f>
        <v>4204200</v>
      </c>
    </row>
    <row r="312" customFormat="false" ht="15" hidden="false" customHeight="false" outlineLevel="0" collapsed="false">
      <c r="A312" s="27" t="n">
        <v>2024</v>
      </c>
      <c r="B312" s="27" t="n">
        <v>4</v>
      </c>
      <c r="C312" s="27" t="s">
        <v>38</v>
      </c>
      <c r="D312" s="27" t="s">
        <v>26</v>
      </c>
      <c r="E312" s="27" t="s">
        <v>50</v>
      </c>
      <c r="F312" s="28" t="n">
        <v>2052</v>
      </c>
      <c r="G312" s="29" t="n">
        <v>2910</v>
      </c>
      <c r="H312" s="29" t="n">
        <f aca="false">F312*G312</f>
        <v>5971320</v>
      </c>
    </row>
    <row r="313" customFormat="false" ht="15" hidden="false" customHeight="false" outlineLevel="0" collapsed="false">
      <c r="A313" s="27" t="n">
        <v>2024</v>
      </c>
      <c r="B313" s="27" t="n">
        <v>4</v>
      </c>
      <c r="C313" s="27" t="s">
        <v>38</v>
      </c>
      <c r="D313" s="27" t="s">
        <v>26</v>
      </c>
      <c r="E313" s="27" t="s">
        <v>52</v>
      </c>
      <c r="F313" s="28" t="n">
        <v>1329</v>
      </c>
      <c r="G313" s="29" t="n">
        <v>2890</v>
      </c>
      <c r="H313" s="29" t="n">
        <f aca="false">F313*G313</f>
        <v>3840810</v>
      </c>
    </row>
    <row r="314" customFormat="false" ht="15" hidden="false" customHeight="false" outlineLevel="0" collapsed="false">
      <c r="A314" s="27" t="n">
        <v>2024</v>
      </c>
      <c r="B314" s="27" t="n">
        <v>4</v>
      </c>
      <c r="C314" s="27" t="s">
        <v>38</v>
      </c>
      <c r="D314" s="27" t="s">
        <v>26</v>
      </c>
      <c r="E314" s="27" t="s">
        <v>54</v>
      </c>
      <c r="F314" s="28" t="n">
        <v>1074</v>
      </c>
      <c r="G314" s="29" t="n">
        <v>2900</v>
      </c>
      <c r="H314" s="29" t="n">
        <f aca="false">F314*G314</f>
        <v>3114600</v>
      </c>
    </row>
    <row r="315" customFormat="false" ht="15" hidden="false" customHeight="false" outlineLevel="0" collapsed="false">
      <c r="A315" s="27" t="n">
        <v>2024</v>
      </c>
      <c r="B315" s="27" t="n">
        <v>4</v>
      </c>
      <c r="C315" s="27" t="s">
        <v>38</v>
      </c>
      <c r="D315" s="27" t="s">
        <v>26</v>
      </c>
      <c r="E315" s="27" t="s">
        <v>56</v>
      </c>
      <c r="F315" s="28" t="n">
        <v>1220</v>
      </c>
      <c r="G315" s="29" t="n">
        <v>2950</v>
      </c>
      <c r="H315" s="29" t="n">
        <f aca="false">F315*G315</f>
        <v>3599000</v>
      </c>
    </row>
    <row r="316" customFormat="false" ht="15" hidden="false" customHeight="false" outlineLevel="0" collapsed="false">
      <c r="A316" s="27" t="n">
        <v>2024</v>
      </c>
      <c r="B316" s="27" t="n">
        <v>4</v>
      </c>
      <c r="C316" s="27" t="s">
        <v>38</v>
      </c>
      <c r="D316" s="27" t="s">
        <v>26</v>
      </c>
      <c r="E316" s="27" t="s">
        <v>58</v>
      </c>
      <c r="F316" s="28" t="n">
        <v>808</v>
      </c>
      <c r="G316" s="29" t="n">
        <v>2840</v>
      </c>
      <c r="H316" s="29" t="n">
        <f aca="false">F316*G316</f>
        <v>2294720</v>
      </c>
    </row>
    <row r="317" customFormat="false" ht="15" hidden="false" customHeight="false" outlineLevel="0" collapsed="false">
      <c r="A317" s="27" t="n">
        <v>2024</v>
      </c>
      <c r="B317" s="27" t="n">
        <v>4</v>
      </c>
      <c r="C317" s="27" t="s">
        <v>38</v>
      </c>
      <c r="D317" s="27" t="s">
        <v>28</v>
      </c>
      <c r="E317" s="27" t="s">
        <v>50</v>
      </c>
      <c r="F317" s="28" t="n">
        <v>872</v>
      </c>
      <c r="G317" s="29" t="n">
        <v>2800</v>
      </c>
      <c r="H317" s="29" t="n">
        <f aca="false">F317*G317</f>
        <v>2441600</v>
      </c>
    </row>
    <row r="318" customFormat="false" ht="15" hidden="false" customHeight="false" outlineLevel="0" collapsed="false">
      <c r="A318" s="27" t="n">
        <v>2024</v>
      </c>
      <c r="B318" s="27" t="n">
        <v>4</v>
      </c>
      <c r="C318" s="27" t="s">
        <v>38</v>
      </c>
      <c r="D318" s="27" t="s">
        <v>28</v>
      </c>
      <c r="E318" s="27" t="s">
        <v>52</v>
      </c>
      <c r="F318" s="28" t="n">
        <v>494</v>
      </c>
      <c r="G318" s="29" t="n">
        <v>2680</v>
      </c>
      <c r="H318" s="29" t="n">
        <f aca="false">F318*G318</f>
        <v>1323920</v>
      </c>
    </row>
    <row r="319" customFormat="false" ht="15" hidden="false" customHeight="false" outlineLevel="0" collapsed="false">
      <c r="A319" s="27" t="n">
        <v>2024</v>
      </c>
      <c r="B319" s="27" t="n">
        <v>4</v>
      </c>
      <c r="C319" s="27" t="s">
        <v>38</v>
      </c>
      <c r="D319" s="27" t="s">
        <v>28</v>
      </c>
      <c r="E319" s="27" t="s">
        <v>54</v>
      </c>
      <c r="F319" s="28" t="n">
        <v>397</v>
      </c>
      <c r="G319" s="29" t="n">
        <v>2720</v>
      </c>
      <c r="H319" s="29" t="n">
        <f aca="false">F319*G319</f>
        <v>1079840</v>
      </c>
    </row>
    <row r="320" customFormat="false" ht="15" hidden="false" customHeight="false" outlineLevel="0" collapsed="false">
      <c r="A320" s="27" t="n">
        <v>2024</v>
      </c>
      <c r="B320" s="27" t="n">
        <v>4</v>
      </c>
      <c r="C320" s="27" t="s">
        <v>38</v>
      </c>
      <c r="D320" s="27" t="s">
        <v>28</v>
      </c>
      <c r="E320" s="27" t="s">
        <v>56</v>
      </c>
      <c r="F320" s="28" t="n">
        <v>475</v>
      </c>
      <c r="G320" s="29" t="n">
        <v>2700</v>
      </c>
      <c r="H320" s="29" t="n">
        <f aca="false">F320*G320</f>
        <v>1282500</v>
      </c>
    </row>
    <row r="321" customFormat="false" ht="15" hidden="false" customHeight="false" outlineLevel="0" collapsed="false">
      <c r="A321" s="27" t="n">
        <v>2024</v>
      </c>
      <c r="B321" s="27" t="n">
        <v>4</v>
      </c>
      <c r="C321" s="27" t="s">
        <v>38</v>
      </c>
      <c r="D321" s="27" t="s">
        <v>28</v>
      </c>
      <c r="E321" s="27" t="s">
        <v>58</v>
      </c>
      <c r="F321" s="28" t="n">
        <v>337</v>
      </c>
      <c r="G321" s="29" t="n">
        <v>2740</v>
      </c>
      <c r="H321" s="29" t="n">
        <f aca="false">F321*G321</f>
        <v>923380</v>
      </c>
    </row>
    <row r="322" customFormat="false" ht="15" hidden="false" customHeight="false" outlineLevel="0" collapsed="false">
      <c r="A322" s="27" t="n">
        <v>2024</v>
      </c>
      <c r="B322" s="27" t="n">
        <v>4</v>
      </c>
      <c r="C322" s="27" t="s">
        <v>40</v>
      </c>
      <c r="D322" s="27" t="s">
        <v>22</v>
      </c>
      <c r="E322" s="27" t="s">
        <v>50</v>
      </c>
      <c r="F322" s="28" t="n">
        <v>4630</v>
      </c>
      <c r="G322" s="29" t="n">
        <v>2320</v>
      </c>
      <c r="H322" s="29" t="n">
        <f aca="false">F322*G322</f>
        <v>10741600</v>
      </c>
    </row>
    <row r="323" customFormat="false" ht="15" hidden="false" customHeight="false" outlineLevel="0" collapsed="false">
      <c r="A323" s="27" t="n">
        <v>2024</v>
      </c>
      <c r="B323" s="27" t="n">
        <v>4</v>
      </c>
      <c r="C323" s="27" t="s">
        <v>40</v>
      </c>
      <c r="D323" s="27" t="s">
        <v>22</v>
      </c>
      <c r="E323" s="27" t="s">
        <v>52</v>
      </c>
      <c r="F323" s="28" t="n">
        <v>3448</v>
      </c>
      <c r="G323" s="29" t="n">
        <v>2300</v>
      </c>
      <c r="H323" s="29" t="n">
        <f aca="false">F323*G323</f>
        <v>7930400</v>
      </c>
    </row>
    <row r="324" customFormat="false" ht="15" hidden="false" customHeight="false" outlineLevel="0" collapsed="false">
      <c r="A324" s="27" t="n">
        <v>2024</v>
      </c>
      <c r="B324" s="27" t="n">
        <v>4</v>
      </c>
      <c r="C324" s="27" t="s">
        <v>40</v>
      </c>
      <c r="D324" s="27" t="s">
        <v>22</v>
      </c>
      <c r="E324" s="27" t="s">
        <v>54</v>
      </c>
      <c r="F324" s="28" t="n">
        <v>2460</v>
      </c>
      <c r="G324" s="29" t="n">
        <v>2300</v>
      </c>
      <c r="H324" s="29" t="n">
        <f aca="false">F324*G324</f>
        <v>5658000</v>
      </c>
    </row>
    <row r="325" customFormat="false" ht="15" hidden="false" customHeight="false" outlineLevel="0" collapsed="false">
      <c r="A325" s="27" t="n">
        <v>2024</v>
      </c>
      <c r="B325" s="27" t="n">
        <v>4</v>
      </c>
      <c r="C325" s="27" t="s">
        <v>40</v>
      </c>
      <c r="D325" s="27" t="s">
        <v>22</v>
      </c>
      <c r="E325" s="27" t="s">
        <v>56</v>
      </c>
      <c r="F325" s="28" t="n">
        <v>3062</v>
      </c>
      <c r="G325" s="29" t="n">
        <v>2260</v>
      </c>
      <c r="H325" s="29" t="n">
        <f aca="false">F325*G325</f>
        <v>6920120</v>
      </c>
    </row>
    <row r="326" customFormat="false" ht="15" hidden="false" customHeight="false" outlineLevel="0" collapsed="false">
      <c r="A326" s="27" t="n">
        <v>2024</v>
      </c>
      <c r="B326" s="27" t="n">
        <v>4</v>
      </c>
      <c r="C326" s="27" t="s">
        <v>40</v>
      </c>
      <c r="D326" s="27" t="s">
        <v>22</v>
      </c>
      <c r="E326" s="27" t="s">
        <v>58</v>
      </c>
      <c r="F326" s="28" t="n">
        <v>2049</v>
      </c>
      <c r="G326" s="29" t="n">
        <v>2290</v>
      </c>
      <c r="H326" s="29" t="n">
        <f aca="false">F326*G326</f>
        <v>4692210</v>
      </c>
    </row>
    <row r="327" customFormat="false" ht="15" hidden="false" customHeight="false" outlineLevel="0" collapsed="false">
      <c r="A327" s="27" t="n">
        <v>2024</v>
      </c>
      <c r="B327" s="27" t="n">
        <v>4</v>
      </c>
      <c r="C327" s="27" t="s">
        <v>40</v>
      </c>
      <c r="D327" s="27" t="s">
        <v>24</v>
      </c>
      <c r="E327" s="27" t="s">
        <v>50</v>
      </c>
      <c r="F327" s="28" t="n">
        <v>2952</v>
      </c>
      <c r="G327" s="29" t="n">
        <v>2140</v>
      </c>
      <c r="H327" s="29" t="n">
        <f aca="false">F327*G327</f>
        <v>6317280</v>
      </c>
    </row>
    <row r="328" customFormat="false" ht="15" hidden="false" customHeight="false" outlineLevel="0" collapsed="false">
      <c r="A328" s="27" t="n">
        <v>2024</v>
      </c>
      <c r="B328" s="27" t="n">
        <v>4</v>
      </c>
      <c r="C328" s="27" t="s">
        <v>40</v>
      </c>
      <c r="D328" s="27" t="s">
        <v>24</v>
      </c>
      <c r="E328" s="27" t="s">
        <v>52</v>
      </c>
      <c r="F328" s="28" t="n">
        <v>1830</v>
      </c>
      <c r="G328" s="29" t="n">
        <v>2120</v>
      </c>
      <c r="H328" s="29" t="n">
        <f aca="false">F328*G328</f>
        <v>3879600</v>
      </c>
    </row>
    <row r="329" customFormat="false" ht="15" hidden="false" customHeight="false" outlineLevel="0" collapsed="false">
      <c r="A329" s="27" t="n">
        <v>2024</v>
      </c>
      <c r="B329" s="27" t="n">
        <v>4</v>
      </c>
      <c r="C329" s="27" t="s">
        <v>40</v>
      </c>
      <c r="D329" s="27" t="s">
        <v>24</v>
      </c>
      <c r="E329" s="27" t="s">
        <v>54</v>
      </c>
      <c r="F329" s="28" t="n">
        <v>1391</v>
      </c>
      <c r="G329" s="29" t="n">
        <v>2150</v>
      </c>
      <c r="H329" s="29" t="n">
        <f aca="false">F329*G329</f>
        <v>2990650</v>
      </c>
    </row>
    <row r="330" customFormat="false" ht="15" hidden="false" customHeight="false" outlineLevel="0" collapsed="false">
      <c r="A330" s="27" t="n">
        <v>2024</v>
      </c>
      <c r="B330" s="27" t="n">
        <v>4</v>
      </c>
      <c r="C330" s="27" t="s">
        <v>40</v>
      </c>
      <c r="D330" s="27" t="s">
        <v>24</v>
      </c>
      <c r="E330" s="27" t="s">
        <v>56</v>
      </c>
      <c r="F330" s="28" t="n">
        <v>1535</v>
      </c>
      <c r="G330" s="29" t="n">
        <v>2140</v>
      </c>
      <c r="H330" s="29" t="n">
        <f aca="false">F330*G330</f>
        <v>3284900</v>
      </c>
    </row>
    <row r="331" customFormat="false" ht="15" hidden="false" customHeight="false" outlineLevel="0" collapsed="false">
      <c r="A331" s="27" t="n">
        <v>2024</v>
      </c>
      <c r="B331" s="27" t="n">
        <v>4</v>
      </c>
      <c r="C331" s="27" t="s">
        <v>40</v>
      </c>
      <c r="D331" s="27" t="s">
        <v>24</v>
      </c>
      <c r="E331" s="27" t="s">
        <v>58</v>
      </c>
      <c r="F331" s="28" t="n">
        <v>1164</v>
      </c>
      <c r="G331" s="29" t="n">
        <v>2130</v>
      </c>
      <c r="H331" s="29" t="n">
        <f aca="false">F331*G331</f>
        <v>2479320</v>
      </c>
    </row>
    <row r="332" customFormat="false" ht="15" hidden="false" customHeight="false" outlineLevel="0" collapsed="false">
      <c r="A332" s="27" t="n">
        <v>2024</v>
      </c>
      <c r="B332" s="27" t="n">
        <v>4</v>
      </c>
      <c r="C332" s="27" t="s">
        <v>40</v>
      </c>
      <c r="D332" s="27" t="s">
        <v>26</v>
      </c>
      <c r="E332" s="27" t="s">
        <v>50</v>
      </c>
      <c r="F332" s="28" t="n">
        <v>1191</v>
      </c>
      <c r="G332" s="29" t="n">
        <v>2580</v>
      </c>
      <c r="H332" s="29" t="n">
        <f aca="false">F332*G332</f>
        <v>3072780</v>
      </c>
    </row>
    <row r="333" customFormat="false" ht="15" hidden="false" customHeight="false" outlineLevel="0" collapsed="false">
      <c r="A333" s="27" t="n">
        <v>2024</v>
      </c>
      <c r="B333" s="27" t="n">
        <v>4</v>
      </c>
      <c r="C333" s="27" t="s">
        <v>40</v>
      </c>
      <c r="D333" s="27" t="s">
        <v>26</v>
      </c>
      <c r="E333" s="27" t="s">
        <v>52</v>
      </c>
      <c r="F333" s="28" t="n">
        <v>776</v>
      </c>
      <c r="G333" s="29" t="n">
        <v>2570</v>
      </c>
      <c r="H333" s="29" t="n">
        <f aca="false">F333*G333</f>
        <v>1994320</v>
      </c>
    </row>
    <row r="334" customFormat="false" ht="15" hidden="false" customHeight="false" outlineLevel="0" collapsed="false">
      <c r="A334" s="27" t="n">
        <v>2024</v>
      </c>
      <c r="B334" s="27" t="n">
        <v>4</v>
      </c>
      <c r="C334" s="27" t="s">
        <v>40</v>
      </c>
      <c r="D334" s="27" t="s">
        <v>26</v>
      </c>
      <c r="E334" s="27" t="s">
        <v>54</v>
      </c>
      <c r="F334" s="28" t="n">
        <v>648</v>
      </c>
      <c r="G334" s="29" t="n">
        <v>2530</v>
      </c>
      <c r="H334" s="29" t="n">
        <f aca="false">F334*G334</f>
        <v>1639440</v>
      </c>
    </row>
    <row r="335" customFormat="false" ht="15" hidden="false" customHeight="false" outlineLevel="0" collapsed="false">
      <c r="A335" s="27" t="n">
        <v>2024</v>
      </c>
      <c r="B335" s="27" t="n">
        <v>4</v>
      </c>
      <c r="C335" s="27" t="s">
        <v>40</v>
      </c>
      <c r="D335" s="27" t="s">
        <v>26</v>
      </c>
      <c r="E335" s="27" t="s">
        <v>56</v>
      </c>
      <c r="F335" s="28" t="n">
        <v>710</v>
      </c>
      <c r="G335" s="29" t="n">
        <v>2590</v>
      </c>
      <c r="H335" s="29" t="n">
        <f aca="false">F335*G335</f>
        <v>1838900</v>
      </c>
    </row>
    <row r="336" customFormat="false" ht="15" hidden="false" customHeight="false" outlineLevel="0" collapsed="false">
      <c r="A336" s="27" t="n">
        <v>2024</v>
      </c>
      <c r="B336" s="27" t="n">
        <v>4</v>
      </c>
      <c r="C336" s="27" t="s">
        <v>40</v>
      </c>
      <c r="D336" s="27" t="s">
        <v>26</v>
      </c>
      <c r="E336" s="27" t="s">
        <v>58</v>
      </c>
      <c r="F336" s="28" t="n">
        <v>515</v>
      </c>
      <c r="G336" s="29" t="n">
        <v>2510</v>
      </c>
      <c r="H336" s="29" t="n">
        <f aca="false">F336*G336</f>
        <v>1292650</v>
      </c>
    </row>
    <row r="337" customFormat="false" ht="15" hidden="false" customHeight="false" outlineLevel="0" collapsed="false">
      <c r="A337" s="27" t="n">
        <v>2024</v>
      </c>
      <c r="B337" s="27" t="n">
        <v>4</v>
      </c>
      <c r="C337" s="27" t="s">
        <v>40</v>
      </c>
      <c r="D337" s="27" t="s">
        <v>28</v>
      </c>
      <c r="E337" s="27" t="s">
        <v>50</v>
      </c>
      <c r="F337" s="28" t="n">
        <v>520</v>
      </c>
      <c r="G337" s="29" t="n">
        <v>2420</v>
      </c>
      <c r="H337" s="29" t="n">
        <f aca="false">F337*G337</f>
        <v>1258400</v>
      </c>
    </row>
    <row r="338" customFormat="false" ht="15" hidden="false" customHeight="false" outlineLevel="0" collapsed="false">
      <c r="A338" s="27" t="n">
        <v>2024</v>
      </c>
      <c r="B338" s="27" t="n">
        <v>4</v>
      </c>
      <c r="C338" s="27" t="s">
        <v>40</v>
      </c>
      <c r="D338" s="27" t="s">
        <v>28</v>
      </c>
      <c r="E338" s="27" t="s">
        <v>52</v>
      </c>
      <c r="F338" s="28" t="n">
        <v>302</v>
      </c>
      <c r="G338" s="29" t="n">
        <v>2380</v>
      </c>
      <c r="H338" s="29" t="n">
        <f aca="false">F338*G338</f>
        <v>718760</v>
      </c>
    </row>
    <row r="339" customFormat="false" ht="15" hidden="false" customHeight="false" outlineLevel="0" collapsed="false">
      <c r="A339" s="27" t="n">
        <v>2024</v>
      </c>
      <c r="B339" s="27" t="n">
        <v>4</v>
      </c>
      <c r="C339" s="27" t="s">
        <v>40</v>
      </c>
      <c r="D339" s="27" t="s">
        <v>28</v>
      </c>
      <c r="E339" s="27" t="s">
        <v>54</v>
      </c>
      <c r="F339" s="28" t="n">
        <v>261</v>
      </c>
      <c r="G339" s="29" t="n">
        <v>2420</v>
      </c>
      <c r="H339" s="29" t="n">
        <f aca="false">F339*G339</f>
        <v>631620</v>
      </c>
    </row>
    <row r="340" customFormat="false" ht="15" hidden="false" customHeight="false" outlineLevel="0" collapsed="false">
      <c r="A340" s="27" t="n">
        <v>2024</v>
      </c>
      <c r="B340" s="27" t="n">
        <v>4</v>
      </c>
      <c r="C340" s="27" t="s">
        <v>40</v>
      </c>
      <c r="D340" s="27" t="s">
        <v>28</v>
      </c>
      <c r="E340" s="27" t="s">
        <v>56</v>
      </c>
      <c r="F340" s="28" t="n">
        <v>332</v>
      </c>
      <c r="G340" s="29" t="n">
        <v>2430</v>
      </c>
      <c r="H340" s="29" t="n">
        <f aca="false">F340*G340</f>
        <v>806760</v>
      </c>
    </row>
    <row r="341" customFormat="false" ht="15" hidden="false" customHeight="false" outlineLevel="0" collapsed="false">
      <c r="A341" s="27" t="n">
        <v>2024</v>
      </c>
      <c r="B341" s="27" t="n">
        <v>4</v>
      </c>
      <c r="C341" s="27" t="s">
        <v>40</v>
      </c>
      <c r="D341" s="27" t="s">
        <v>28</v>
      </c>
      <c r="E341" s="27" t="s">
        <v>58</v>
      </c>
      <c r="F341" s="28" t="n">
        <v>207</v>
      </c>
      <c r="G341" s="29" t="n">
        <v>2410</v>
      </c>
      <c r="H341" s="29" t="n">
        <f aca="false">F341*G341</f>
        <v>498870</v>
      </c>
    </row>
    <row r="342" customFormat="false" ht="15" hidden="false" customHeight="false" outlineLevel="0" collapsed="false">
      <c r="A342" s="27" t="n">
        <v>2024</v>
      </c>
      <c r="B342" s="27" t="n">
        <v>4</v>
      </c>
      <c r="C342" s="27" t="s">
        <v>42</v>
      </c>
      <c r="D342" s="27" t="s">
        <v>22</v>
      </c>
      <c r="E342" s="27" t="s">
        <v>50</v>
      </c>
      <c r="F342" s="28" t="n">
        <v>4620</v>
      </c>
      <c r="G342" s="29" t="n">
        <v>2110</v>
      </c>
      <c r="H342" s="29" t="n">
        <f aca="false">F342*G342</f>
        <v>9748200</v>
      </c>
    </row>
    <row r="343" customFormat="false" ht="15" hidden="false" customHeight="false" outlineLevel="0" collapsed="false">
      <c r="A343" s="27" t="n">
        <v>2024</v>
      </c>
      <c r="B343" s="27" t="n">
        <v>4</v>
      </c>
      <c r="C343" s="27" t="s">
        <v>42</v>
      </c>
      <c r="D343" s="27" t="s">
        <v>22</v>
      </c>
      <c r="E343" s="27" t="s">
        <v>52</v>
      </c>
      <c r="F343" s="28" t="n">
        <v>2948</v>
      </c>
      <c r="G343" s="29" t="n">
        <v>2090</v>
      </c>
      <c r="H343" s="29" t="n">
        <f aca="false">F343*G343</f>
        <v>6161320</v>
      </c>
    </row>
    <row r="344" customFormat="false" ht="15" hidden="false" customHeight="false" outlineLevel="0" collapsed="false">
      <c r="A344" s="27" t="n">
        <v>2024</v>
      </c>
      <c r="B344" s="27" t="n">
        <v>4</v>
      </c>
      <c r="C344" s="27" t="s">
        <v>42</v>
      </c>
      <c r="D344" s="27" t="s">
        <v>22</v>
      </c>
      <c r="E344" s="27" t="s">
        <v>54</v>
      </c>
      <c r="F344" s="28" t="n">
        <v>2171</v>
      </c>
      <c r="G344" s="29" t="n">
        <v>2090</v>
      </c>
      <c r="H344" s="29" t="n">
        <f aca="false">F344*G344</f>
        <v>4537390</v>
      </c>
    </row>
    <row r="345" customFormat="false" ht="15" hidden="false" customHeight="false" outlineLevel="0" collapsed="false">
      <c r="A345" s="27" t="n">
        <v>2024</v>
      </c>
      <c r="B345" s="27" t="n">
        <v>4</v>
      </c>
      <c r="C345" s="27" t="s">
        <v>42</v>
      </c>
      <c r="D345" s="27" t="s">
        <v>22</v>
      </c>
      <c r="E345" s="27" t="s">
        <v>56</v>
      </c>
      <c r="F345" s="28" t="n">
        <v>2740</v>
      </c>
      <c r="G345" s="29" t="n">
        <v>2130</v>
      </c>
      <c r="H345" s="29" t="n">
        <f aca="false">F345*G345</f>
        <v>5836200</v>
      </c>
    </row>
    <row r="346" customFormat="false" ht="15" hidden="false" customHeight="false" outlineLevel="0" collapsed="false">
      <c r="A346" s="27" t="n">
        <v>2024</v>
      </c>
      <c r="B346" s="27" t="n">
        <v>4</v>
      </c>
      <c r="C346" s="27" t="s">
        <v>42</v>
      </c>
      <c r="D346" s="27" t="s">
        <v>22</v>
      </c>
      <c r="E346" s="27" t="s">
        <v>58</v>
      </c>
      <c r="F346" s="28" t="n">
        <v>1762</v>
      </c>
      <c r="G346" s="29" t="n">
        <v>2090</v>
      </c>
      <c r="H346" s="29" t="n">
        <f aca="false">F346*G346</f>
        <v>3682580</v>
      </c>
    </row>
    <row r="347" customFormat="false" ht="15" hidden="false" customHeight="false" outlineLevel="0" collapsed="false">
      <c r="A347" s="27" t="n">
        <v>2024</v>
      </c>
      <c r="B347" s="27" t="n">
        <v>4</v>
      </c>
      <c r="C347" s="27" t="s">
        <v>42</v>
      </c>
      <c r="D347" s="27" t="s">
        <v>24</v>
      </c>
      <c r="E347" s="27" t="s">
        <v>50</v>
      </c>
      <c r="F347" s="28" t="n">
        <v>2435</v>
      </c>
      <c r="G347" s="29" t="n">
        <v>1950</v>
      </c>
      <c r="H347" s="29" t="n">
        <f aca="false">F347*G347</f>
        <v>4748250</v>
      </c>
    </row>
    <row r="348" customFormat="false" ht="15" hidden="false" customHeight="false" outlineLevel="0" collapsed="false">
      <c r="A348" s="27" t="n">
        <v>2024</v>
      </c>
      <c r="B348" s="27" t="n">
        <v>4</v>
      </c>
      <c r="C348" s="27" t="s">
        <v>42</v>
      </c>
      <c r="D348" s="27" t="s">
        <v>24</v>
      </c>
      <c r="E348" s="27" t="s">
        <v>52</v>
      </c>
      <c r="F348" s="28" t="n">
        <v>1569</v>
      </c>
      <c r="G348" s="29" t="n">
        <v>1910</v>
      </c>
      <c r="H348" s="29" t="n">
        <f aca="false">F348*G348</f>
        <v>2996790</v>
      </c>
    </row>
    <row r="349" customFormat="false" ht="15" hidden="false" customHeight="false" outlineLevel="0" collapsed="false">
      <c r="A349" s="27" t="n">
        <v>2024</v>
      </c>
      <c r="B349" s="27" t="n">
        <v>4</v>
      </c>
      <c r="C349" s="27" t="s">
        <v>42</v>
      </c>
      <c r="D349" s="27" t="s">
        <v>24</v>
      </c>
      <c r="E349" s="27" t="s">
        <v>54</v>
      </c>
      <c r="F349" s="28" t="n">
        <v>1149</v>
      </c>
      <c r="G349" s="29" t="n">
        <v>1940</v>
      </c>
      <c r="H349" s="29" t="n">
        <f aca="false">F349*G349</f>
        <v>2229060</v>
      </c>
    </row>
    <row r="350" customFormat="false" ht="15" hidden="false" customHeight="false" outlineLevel="0" collapsed="false">
      <c r="A350" s="27" t="n">
        <v>2024</v>
      </c>
      <c r="B350" s="27" t="n">
        <v>4</v>
      </c>
      <c r="C350" s="27" t="s">
        <v>42</v>
      </c>
      <c r="D350" s="27" t="s">
        <v>24</v>
      </c>
      <c r="E350" s="27" t="s">
        <v>56</v>
      </c>
      <c r="F350" s="28" t="n">
        <v>1258</v>
      </c>
      <c r="G350" s="29" t="n">
        <v>1930</v>
      </c>
      <c r="H350" s="29" t="n">
        <f aca="false">F350*G350</f>
        <v>2427940</v>
      </c>
    </row>
    <row r="351" customFormat="false" ht="15" hidden="false" customHeight="false" outlineLevel="0" collapsed="false">
      <c r="A351" s="27" t="n">
        <v>2024</v>
      </c>
      <c r="B351" s="27" t="n">
        <v>4</v>
      </c>
      <c r="C351" s="27" t="s">
        <v>42</v>
      </c>
      <c r="D351" s="27" t="s">
        <v>24</v>
      </c>
      <c r="E351" s="27" t="s">
        <v>58</v>
      </c>
      <c r="F351" s="28" t="n">
        <v>929</v>
      </c>
      <c r="G351" s="29" t="n">
        <v>1950</v>
      </c>
      <c r="H351" s="29" t="n">
        <f aca="false">F351*G351</f>
        <v>1811550</v>
      </c>
    </row>
    <row r="352" customFormat="false" ht="15" hidden="false" customHeight="false" outlineLevel="0" collapsed="false">
      <c r="A352" s="27" t="n">
        <v>2024</v>
      </c>
      <c r="B352" s="27" t="n">
        <v>4</v>
      </c>
      <c r="C352" s="27" t="s">
        <v>42</v>
      </c>
      <c r="D352" s="27" t="s">
        <v>26</v>
      </c>
      <c r="E352" s="27" t="s">
        <v>50</v>
      </c>
      <c r="F352" s="28" t="n">
        <v>1218</v>
      </c>
      <c r="G352" s="29" t="n">
        <v>2350</v>
      </c>
      <c r="H352" s="29" t="n">
        <f aca="false">F352*G352</f>
        <v>2862300</v>
      </c>
    </row>
    <row r="353" customFormat="false" ht="15" hidden="false" customHeight="false" outlineLevel="0" collapsed="false">
      <c r="A353" s="27" t="n">
        <v>2024</v>
      </c>
      <c r="B353" s="27" t="n">
        <v>4</v>
      </c>
      <c r="C353" s="27" t="s">
        <v>42</v>
      </c>
      <c r="D353" s="27" t="s">
        <v>26</v>
      </c>
      <c r="E353" s="27" t="s">
        <v>52</v>
      </c>
      <c r="F353" s="28" t="n">
        <v>684</v>
      </c>
      <c r="G353" s="29" t="n">
        <v>2350</v>
      </c>
      <c r="H353" s="29" t="n">
        <f aca="false">F353*G353</f>
        <v>1607400</v>
      </c>
    </row>
    <row r="354" customFormat="false" ht="15" hidden="false" customHeight="false" outlineLevel="0" collapsed="false">
      <c r="A354" s="27" t="n">
        <v>2024</v>
      </c>
      <c r="B354" s="27" t="n">
        <v>4</v>
      </c>
      <c r="C354" s="27" t="s">
        <v>42</v>
      </c>
      <c r="D354" s="27" t="s">
        <v>26</v>
      </c>
      <c r="E354" s="27" t="s">
        <v>54</v>
      </c>
      <c r="F354" s="28" t="n">
        <v>607</v>
      </c>
      <c r="G354" s="29" t="n">
        <v>2330</v>
      </c>
      <c r="H354" s="29" t="n">
        <f aca="false">F354*G354</f>
        <v>1414310</v>
      </c>
    </row>
    <row r="355" customFormat="false" ht="15" hidden="false" customHeight="false" outlineLevel="0" collapsed="false">
      <c r="A355" s="27" t="n">
        <v>2024</v>
      </c>
      <c r="B355" s="27" t="n">
        <v>4</v>
      </c>
      <c r="C355" s="27" t="s">
        <v>42</v>
      </c>
      <c r="D355" s="27" t="s">
        <v>26</v>
      </c>
      <c r="E355" s="27" t="s">
        <v>56</v>
      </c>
      <c r="F355" s="28" t="n">
        <v>654</v>
      </c>
      <c r="G355" s="29" t="n">
        <v>2370</v>
      </c>
      <c r="H355" s="29" t="n">
        <f aca="false">F355*G355</f>
        <v>1549980</v>
      </c>
    </row>
    <row r="356" customFormat="false" ht="15" hidden="false" customHeight="false" outlineLevel="0" collapsed="false">
      <c r="A356" s="27" t="n">
        <v>2024</v>
      </c>
      <c r="B356" s="27" t="n">
        <v>4</v>
      </c>
      <c r="C356" s="27" t="s">
        <v>42</v>
      </c>
      <c r="D356" s="27" t="s">
        <v>26</v>
      </c>
      <c r="E356" s="27" t="s">
        <v>58</v>
      </c>
      <c r="F356" s="28" t="n">
        <v>464</v>
      </c>
      <c r="G356" s="29" t="n">
        <v>2370</v>
      </c>
      <c r="H356" s="29" t="n">
        <f aca="false">F356*G356</f>
        <v>1099680</v>
      </c>
    </row>
    <row r="357" customFormat="false" ht="15" hidden="false" customHeight="false" outlineLevel="0" collapsed="false">
      <c r="A357" s="27" t="n">
        <v>2024</v>
      </c>
      <c r="B357" s="27" t="n">
        <v>4</v>
      </c>
      <c r="C357" s="27" t="s">
        <v>42</v>
      </c>
      <c r="D357" s="27" t="s">
        <v>28</v>
      </c>
      <c r="E357" s="27" t="s">
        <v>50</v>
      </c>
      <c r="F357" s="28" t="n">
        <v>444</v>
      </c>
      <c r="G357" s="29" t="n">
        <v>2220</v>
      </c>
      <c r="H357" s="29" t="n">
        <f aca="false">F357*G357</f>
        <v>985680</v>
      </c>
    </row>
    <row r="358" customFormat="false" ht="15" hidden="false" customHeight="false" outlineLevel="0" collapsed="false">
      <c r="A358" s="27" t="n">
        <v>2024</v>
      </c>
      <c r="B358" s="27" t="n">
        <v>4</v>
      </c>
      <c r="C358" s="27" t="s">
        <v>42</v>
      </c>
      <c r="D358" s="27" t="s">
        <v>28</v>
      </c>
      <c r="E358" s="27" t="s">
        <v>52</v>
      </c>
      <c r="F358" s="28" t="n">
        <v>263</v>
      </c>
      <c r="G358" s="29" t="n">
        <v>2200</v>
      </c>
      <c r="H358" s="29" t="n">
        <f aca="false">F358*G358</f>
        <v>578600</v>
      </c>
    </row>
    <row r="359" customFormat="false" ht="15" hidden="false" customHeight="false" outlineLevel="0" collapsed="false">
      <c r="A359" s="27" t="n">
        <v>2024</v>
      </c>
      <c r="B359" s="27" t="n">
        <v>4</v>
      </c>
      <c r="C359" s="27" t="s">
        <v>42</v>
      </c>
      <c r="D359" s="27" t="s">
        <v>28</v>
      </c>
      <c r="E359" s="27" t="s">
        <v>54</v>
      </c>
      <c r="F359" s="28" t="n">
        <v>220</v>
      </c>
      <c r="G359" s="29" t="n">
        <v>2180</v>
      </c>
      <c r="H359" s="29" t="n">
        <f aca="false">F359*G359</f>
        <v>479600</v>
      </c>
    </row>
    <row r="360" customFormat="false" ht="15" hidden="false" customHeight="false" outlineLevel="0" collapsed="false">
      <c r="A360" s="27" t="n">
        <v>2024</v>
      </c>
      <c r="B360" s="27" t="n">
        <v>4</v>
      </c>
      <c r="C360" s="27" t="s">
        <v>42</v>
      </c>
      <c r="D360" s="27" t="s">
        <v>28</v>
      </c>
      <c r="E360" s="27" t="s">
        <v>56</v>
      </c>
      <c r="F360" s="28" t="n">
        <v>243</v>
      </c>
      <c r="G360" s="29" t="n">
        <v>2220</v>
      </c>
      <c r="H360" s="29" t="n">
        <f aca="false">F360*G360</f>
        <v>539460</v>
      </c>
    </row>
    <row r="361" customFormat="false" ht="15" hidden="false" customHeight="false" outlineLevel="0" collapsed="false">
      <c r="A361" s="27" t="n">
        <v>2024</v>
      </c>
      <c r="B361" s="27" t="n">
        <v>4</v>
      </c>
      <c r="C361" s="27" t="s">
        <v>42</v>
      </c>
      <c r="D361" s="27" t="s">
        <v>28</v>
      </c>
      <c r="E361" s="27" t="s">
        <v>58</v>
      </c>
      <c r="F361" s="28" t="n">
        <v>177</v>
      </c>
      <c r="G361" s="29" t="n">
        <v>2180</v>
      </c>
      <c r="H361" s="29" t="n">
        <f aca="false">F361*G361</f>
        <v>385860</v>
      </c>
    </row>
    <row r="362" customFormat="false" ht="15" hidden="false" customHeight="false" outlineLevel="0" collapsed="false">
      <c r="A362" s="27" t="n">
        <v>2024</v>
      </c>
      <c r="B362" s="27" t="n">
        <v>4</v>
      </c>
      <c r="C362" s="27" t="s">
        <v>44</v>
      </c>
      <c r="D362" s="27" t="s">
        <v>22</v>
      </c>
      <c r="E362" s="27" t="s">
        <v>50</v>
      </c>
      <c r="F362" s="28" t="n">
        <v>2409</v>
      </c>
      <c r="G362" s="29" t="n">
        <v>3940</v>
      </c>
      <c r="H362" s="29" t="n">
        <f aca="false">F362*G362</f>
        <v>9491460</v>
      </c>
    </row>
    <row r="363" customFormat="false" ht="15" hidden="false" customHeight="false" outlineLevel="0" collapsed="false">
      <c r="A363" s="27" t="n">
        <v>2024</v>
      </c>
      <c r="B363" s="27" t="n">
        <v>4</v>
      </c>
      <c r="C363" s="27" t="s">
        <v>44</v>
      </c>
      <c r="D363" s="27" t="s">
        <v>22</v>
      </c>
      <c r="E363" s="27" t="s">
        <v>52</v>
      </c>
      <c r="F363" s="28" t="n">
        <v>1341</v>
      </c>
      <c r="G363" s="29" t="n">
        <v>3840</v>
      </c>
      <c r="H363" s="29" t="n">
        <f aca="false">F363*G363</f>
        <v>5149440</v>
      </c>
    </row>
    <row r="364" customFormat="false" ht="15" hidden="false" customHeight="false" outlineLevel="0" collapsed="false">
      <c r="A364" s="27" t="n">
        <v>2024</v>
      </c>
      <c r="B364" s="27" t="n">
        <v>4</v>
      </c>
      <c r="C364" s="27" t="s">
        <v>44</v>
      </c>
      <c r="D364" s="27" t="s">
        <v>22</v>
      </c>
      <c r="E364" s="27" t="s">
        <v>54</v>
      </c>
      <c r="F364" s="28" t="n">
        <v>1155</v>
      </c>
      <c r="G364" s="29" t="n">
        <v>3960</v>
      </c>
      <c r="H364" s="29" t="n">
        <f aca="false">F364*G364</f>
        <v>4573800</v>
      </c>
    </row>
    <row r="365" customFormat="false" ht="15" hidden="false" customHeight="false" outlineLevel="0" collapsed="false">
      <c r="A365" s="27" t="n">
        <v>2024</v>
      </c>
      <c r="B365" s="27" t="n">
        <v>4</v>
      </c>
      <c r="C365" s="27" t="s">
        <v>44</v>
      </c>
      <c r="D365" s="27" t="s">
        <v>22</v>
      </c>
      <c r="E365" s="27" t="s">
        <v>56</v>
      </c>
      <c r="F365" s="28" t="n">
        <v>1458</v>
      </c>
      <c r="G365" s="29" t="n">
        <v>3930</v>
      </c>
      <c r="H365" s="29" t="n">
        <f aca="false">F365*G365</f>
        <v>5729940</v>
      </c>
    </row>
    <row r="366" customFormat="false" ht="15" hidden="false" customHeight="false" outlineLevel="0" collapsed="false">
      <c r="A366" s="27" t="n">
        <v>2024</v>
      </c>
      <c r="B366" s="27" t="n">
        <v>4</v>
      </c>
      <c r="C366" s="27" t="s">
        <v>44</v>
      </c>
      <c r="D366" s="27" t="s">
        <v>22</v>
      </c>
      <c r="E366" s="27" t="s">
        <v>58</v>
      </c>
      <c r="F366" s="28" t="n">
        <v>928</v>
      </c>
      <c r="G366" s="29" t="n">
        <v>3860</v>
      </c>
      <c r="H366" s="29" t="n">
        <f aca="false">F366*G366</f>
        <v>3582080</v>
      </c>
    </row>
    <row r="367" customFormat="false" ht="15" hidden="false" customHeight="false" outlineLevel="0" collapsed="false">
      <c r="A367" s="27" t="n">
        <v>2024</v>
      </c>
      <c r="B367" s="27" t="n">
        <v>4</v>
      </c>
      <c r="C367" s="27" t="s">
        <v>44</v>
      </c>
      <c r="D367" s="27" t="s">
        <v>24</v>
      </c>
      <c r="E367" s="27" t="s">
        <v>50</v>
      </c>
      <c r="F367" s="28" t="n">
        <v>1337</v>
      </c>
      <c r="G367" s="29" t="n">
        <v>3630</v>
      </c>
      <c r="H367" s="29" t="n">
        <f aca="false">F367*G367</f>
        <v>4853310</v>
      </c>
    </row>
    <row r="368" customFormat="false" ht="15" hidden="false" customHeight="false" outlineLevel="0" collapsed="false">
      <c r="A368" s="27" t="n">
        <v>2024</v>
      </c>
      <c r="B368" s="27" t="n">
        <v>4</v>
      </c>
      <c r="C368" s="27" t="s">
        <v>44</v>
      </c>
      <c r="D368" s="27" t="s">
        <v>24</v>
      </c>
      <c r="E368" s="27" t="s">
        <v>52</v>
      </c>
      <c r="F368" s="28" t="n">
        <v>840</v>
      </c>
      <c r="G368" s="29" t="n">
        <v>3620</v>
      </c>
      <c r="H368" s="29" t="n">
        <f aca="false">F368*G368</f>
        <v>3040800</v>
      </c>
    </row>
    <row r="369" customFormat="false" ht="15" hidden="false" customHeight="false" outlineLevel="0" collapsed="false">
      <c r="A369" s="27" t="n">
        <v>2024</v>
      </c>
      <c r="B369" s="27" t="n">
        <v>4</v>
      </c>
      <c r="C369" s="27" t="s">
        <v>44</v>
      </c>
      <c r="D369" s="27" t="s">
        <v>24</v>
      </c>
      <c r="E369" s="27" t="s">
        <v>54</v>
      </c>
      <c r="F369" s="28" t="n">
        <v>663</v>
      </c>
      <c r="G369" s="29" t="n">
        <v>3630</v>
      </c>
      <c r="H369" s="29" t="n">
        <f aca="false">F369*G369</f>
        <v>2406690</v>
      </c>
    </row>
    <row r="370" customFormat="false" ht="15" hidden="false" customHeight="false" outlineLevel="0" collapsed="false">
      <c r="A370" s="27" t="n">
        <v>2024</v>
      </c>
      <c r="B370" s="27" t="n">
        <v>4</v>
      </c>
      <c r="C370" s="27" t="s">
        <v>44</v>
      </c>
      <c r="D370" s="27" t="s">
        <v>24</v>
      </c>
      <c r="E370" s="27" t="s">
        <v>56</v>
      </c>
      <c r="F370" s="28" t="n">
        <v>806</v>
      </c>
      <c r="G370" s="29" t="n">
        <v>3660</v>
      </c>
      <c r="H370" s="29" t="n">
        <f aca="false">F370*G370</f>
        <v>2949960</v>
      </c>
    </row>
    <row r="371" customFormat="false" ht="15" hidden="false" customHeight="false" outlineLevel="0" collapsed="false">
      <c r="A371" s="27" t="n">
        <v>2024</v>
      </c>
      <c r="B371" s="27" t="n">
        <v>4</v>
      </c>
      <c r="C371" s="27" t="s">
        <v>44</v>
      </c>
      <c r="D371" s="27" t="s">
        <v>24</v>
      </c>
      <c r="E371" s="27" t="s">
        <v>58</v>
      </c>
      <c r="F371" s="28" t="n">
        <v>488</v>
      </c>
      <c r="G371" s="29" t="n">
        <v>3550</v>
      </c>
      <c r="H371" s="29" t="n">
        <f aca="false">F371*G371</f>
        <v>1732400</v>
      </c>
    </row>
    <row r="372" customFormat="false" ht="15" hidden="false" customHeight="false" outlineLevel="0" collapsed="false">
      <c r="A372" s="27" t="n">
        <v>2024</v>
      </c>
      <c r="B372" s="27" t="n">
        <v>4</v>
      </c>
      <c r="C372" s="27" t="s">
        <v>44</v>
      </c>
      <c r="D372" s="27" t="s">
        <v>26</v>
      </c>
      <c r="E372" s="27" t="s">
        <v>50</v>
      </c>
      <c r="F372" s="28" t="n">
        <v>661</v>
      </c>
      <c r="G372" s="29" t="n">
        <v>4420</v>
      </c>
      <c r="H372" s="29" t="n">
        <f aca="false">F372*G372</f>
        <v>2921620</v>
      </c>
    </row>
    <row r="373" customFormat="false" ht="15" hidden="false" customHeight="false" outlineLevel="0" collapsed="false">
      <c r="A373" s="27" t="n">
        <v>2024</v>
      </c>
      <c r="B373" s="27" t="n">
        <v>4</v>
      </c>
      <c r="C373" s="27" t="s">
        <v>44</v>
      </c>
      <c r="D373" s="27" t="s">
        <v>26</v>
      </c>
      <c r="E373" s="27" t="s">
        <v>52</v>
      </c>
      <c r="F373" s="28" t="n">
        <v>373</v>
      </c>
      <c r="G373" s="29" t="n">
        <v>4290</v>
      </c>
      <c r="H373" s="29" t="n">
        <f aca="false">F373*G373</f>
        <v>1600170</v>
      </c>
    </row>
    <row r="374" customFormat="false" ht="15" hidden="false" customHeight="false" outlineLevel="0" collapsed="false">
      <c r="A374" s="27" t="n">
        <v>2024</v>
      </c>
      <c r="B374" s="27" t="n">
        <v>4</v>
      </c>
      <c r="C374" s="27" t="s">
        <v>44</v>
      </c>
      <c r="D374" s="27" t="s">
        <v>26</v>
      </c>
      <c r="E374" s="27" t="s">
        <v>54</v>
      </c>
      <c r="F374" s="28" t="n">
        <v>316</v>
      </c>
      <c r="G374" s="29" t="n">
        <v>4410</v>
      </c>
      <c r="H374" s="29" t="n">
        <f aca="false">F374*G374</f>
        <v>1393560</v>
      </c>
    </row>
    <row r="375" customFormat="false" ht="15" hidden="false" customHeight="false" outlineLevel="0" collapsed="false">
      <c r="A375" s="27" t="n">
        <v>2024</v>
      </c>
      <c r="B375" s="27" t="n">
        <v>4</v>
      </c>
      <c r="C375" s="27" t="s">
        <v>44</v>
      </c>
      <c r="D375" s="27" t="s">
        <v>26</v>
      </c>
      <c r="E375" s="27" t="s">
        <v>56</v>
      </c>
      <c r="F375" s="28" t="n">
        <v>407</v>
      </c>
      <c r="G375" s="29" t="n">
        <v>4390</v>
      </c>
      <c r="H375" s="29" t="n">
        <f aca="false">F375*G375</f>
        <v>1786730</v>
      </c>
    </row>
    <row r="376" customFormat="false" ht="15" hidden="false" customHeight="false" outlineLevel="0" collapsed="false">
      <c r="A376" s="27" t="n">
        <v>2024</v>
      </c>
      <c r="B376" s="27" t="n">
        <v>4</v>
      </c>
      <c r="C376" s="27" t="s">
        <v>44</v>
      </c>
      <c r="D376" s="27" t="s">
        <v>26</v>
      </c>
      <c r="E376" s="27" t="s">
        <v>58</v>
      </c>
      <c r="F376" s="28" t="n">
        <v>251</v>
      </c>
      <c r="G376" s="29" t="n">
        <v>4330</v>
      </c>
      <c r="H376" s="29" t="n">
        <f aca="false">F376*G376</f>
        <v>1086830</v>
      </c>
    </row>
    <row r="377" customFormat="false" ht="15" hidden="false" customHeight="false" outlineLevel="0" collapsed="false">
      <c r="A377" s="27" t="n">
        <v>2024</v>
      </c>
      <c r="B377" s="27" t="n">
        <v>4</v>
      </c>
      <c r="C377" s="27" t="s">
        <v>44</v>
      </c>
      <c r="D377" s="27" t="s">
        <v>28</v>
      </c>
      <c r="E377" s="27" t="s">
        <v>50</v>
      </c>
      <c r="F377" s="28" t="n">
        <v>242</v>
      </c>
      <c r="G377" s="29" t="n">
        <v>4080</v>
      </c>
      <c r="H377" s="29" t="n">
        <f aca="false">F377*G377</f>
        <v>987360</v>
      </c>
    </row>
    <row r="378" customFormat="false" ht="15" hidden="false" customHeight="false" outlineLevel="0" collapsed="false">
      <c r="A378" s="27" t="n">
        <v>2024</v>
      </c>
      <c r="B378" s="27" t="n">
        <v>4</v>
      </c>
      <c r="C378" s="27" t="s">
        <v>44</v>
      </c>
      <c r="D378" s="27" t="s">
        <v>28</v>
      </c>
      <c r="E378" s="27" t="s">
        <v>52</v>
      </c>
      <c r="F378" s="28" t="n">
        <v>144</v>
      </c>
      <c r="G378" s="29" t="n">
        <v>4180</v>
      </c>
      <c r="H378" s="29" t="n">
        <f aca="false">F378*G378</f>
        <v>601920</v>
      </c>
    </row>
    <row r="379" customFormat="false" ht="15" hidden="false" customHeight="false" outlineLevel="0" collapsed="false">
      <c r="A379" s="27" t="n">
        <v>2024</v>
      </c>
      <c r="B379" s="27" t="n">
        <v>4</v>
      </c>
      <c r="C379" s="27" t="s">
        <v>44</v>
      </c>
      <c r="D379" s="27" t="s">
        <v>28</v>
      </c>
      <c r="E379" s="27" t="s">
        <v>54</v>
      </c>
      <c r="F379" s="28" t="n">
        <v>132</v>
      </c>
      <c r="G379" s="29" t="n">
        <v>4140</v>
      </c>
      <c r="H379" s="29" t="n">
        <f aca="false">F379*G379</f>
        <v>546480</v>
      </c>
    </row>
    <row r="380" customFormat="false" ht="15" hidden="false" customHeight="false" outlineLevel="0" collapsed="false">
      <c r="A380" s="27" t="n">
        <v>2024</v>
      </c>
      <c r="B380" s="27" t="n">
        <v>4</v>
      </c>
      <c r="C380" s="27" t="s">
        <v>44</v>
      </c>
      <c r="D380" s="27" t="s">
        <v>28</v>
      </c>
      <c r="E380" s="27" t="s">
        <v>56</v>
      </c>
      <c r="F380" s="28" t="n">
        <v>137</v>
      </c>
      <c r="G380" s="29" t="n">
        <v>4130</v>
      </c>
      <c r="H380" s="29" t="n">
        <f aca="false">F380*G380</f>
        <v>565810</v>
      </c>
    </row>
    <row r="381" customFormat="false" ht="15" hidden="false" customHeight="false" outlineLevel="0" collapsed="false">
      <c r="A381" s="27" t="n">
        <v>2024</v>
      </c>
      <c r="B381" s="27" t="n">
        <v>4</v>
      </c>
      <c r="C381" s="27" t="s">
        <v>44</v>
      </c>
      <c r="D381" s="27" t="s">
        <v>28</v>
      </c>
      <c r="E381" s="27" t="s">
        <v>58</v>
      </c>
      <c r="F381" s="28" t="n">
        <v>102</v>
      </c>
      <c r="G381" s="29" t="n">
        <v>4110</v>
      </c>
      <c r="H381" s="29" t="n">
        <f aca="false">F381*G381</f>
        <v>419220</v>
      </c>
    </row>
    <row r="382" customFormat="false" ht="15" hidden="false" customHeight="false" outlineLevel="0" collapsed="false">
      <c r="A382" s="27" t="n">
        <v>2024</v>
      </c>
      <c r="B382" s="27" t="n">
        <v>4</v>
      </c>
      <c r="C382" s="27" t="s">
        <v>45</v>
      </c>
      <c r="D382" s="27" t="s">
        <v>22</v>
      </c>
      <c r="E382" s="27" t="s">
        <v>50</v>
      </c>
      <c r="F382" s="28" t="n">
        <v>3430</v>
      </c>
      <c r="G382" s="29" t="n">
        <v>2420</v>
      </c>
      <c r="H382" s="29" t="n">
        <f aca="false">F382*G382</f>
        <v>8300600</v>
      </c>
    </row>
    <row r="383" customFormat="false" ht="15" hidden="false" customHeight="false" outlineLevel="0" collapsed="false">
      <c r="A383" s="27" t="n">
        <v>2024</v>
      </c>
      <c r="B383" s="27" t="n">
        <v>4</v>
      </c>
      <c r="C383" s="27" t="s">
        <v>45</v>
      </c>
      <c r="D383" s="27" t="s">
        <v>22</v>
      </c>
      <c r="E383" s="27" t="s">
        <v>52</v>
      </c>
      <c r="F383" s="28" t="n">
        <v>2092</v>
      </c>
      <c r="G383" s="29" t="n">
        <v>2420</v>
      </c>
      <c r="H383" s="29" t="n">
        <f aca="false">F383*G383</f>
        <v>5062640</v>
      </c>
    </row>
    <row r="384" customFormat="false" ht="15" hidden="false" customHeight="false" outlineLevel="0" collapsed="false">
      <c r="A384" s="27" t="n">
        <v>2024</v>
      </c>
      <c r="B384" s="27" t="n">
        <v>4</v>
      </c>
      <c r="C384" s="27" t="s">
        <v>45</v>
      </c>
      <c r="D384" s="27" t="s">
        <v>22</v>
      </c>
      <c r="E384" s="27" t="s">
        <v>54</v>
      </c>
      <c r="F384" s="28" t="n">
        <v>1642</v>
      </c>
      <c r="G384" s="29" t="n">
        <v>2360</v>
      </c>
      <c r="H384" s="29" t="n">
        <f aca="false">F384*G384</f>
        <v>3875120</v>
      </c>
    </row>
    <row r="385" customFormat="false" ht="15" hidden="false" customHeight="false" outlineLevel="0" collapsed="false">
      <c r="A385" s="27" t="n">
        <v>2024</v>
      </c>
      <c r="B385" s="27" t="n">
        <v>4</v>
      </c>
      <c r="C385" s="27" t="s">
        <v>45</v>
      </c>
      <c r="D385" s="27" t="s">
        <v>22</v>
      </c>
      <c r="E385" s="27" t="s">
        <v>56</v>
      </c>
      <c r="F385" s="28" t="n">
        <v>1925</v>
      </c>
      <c r="G385" s="29" t="n">
        <v>2390</v>
      </c>
      <c r="H385" s="29" t="n">
        <f aca="false">F385*G385</f>
        <v>4600750</v>
      </c>
    </row>
    <row r="386" customFormat="false" ht="15" hidden="false" customHeight="false" outlineLevel="0" collapsed="false">
      <c r="A386" s="27" t="n">
        <v>2024</v>
      </c>
      <c r="B386" s="27" t="n">
        <v>4</v>
      </c>
      <c r="C386" s="27" t="s">
        <v>45</v>
      </c>
      <c r="D386" s="27" t="s">
        <v>22</v>
      </c>
      <c r="E386" s="27" t="s">
        <v>58</v>
      </c>
      <c r="F386" s="28" t="n">
        <v>1228</v>
      </c>
      <c r="G386" s="29" t="n">
        <v>2440</v>
      </c>
      <c r="H386" s="29" t="n">
        <f aca="false">F386*G386</f>
        <v>2996320</v>
      </c>
    </row>
    <row r="387" customFormat="false" ht="15" hidden="false" customHeight="false" outlineLevel="0" collapsed="false">
      <c r="A387" s="27" t="n">
        <v>2024</v>
      </c>
      <c r="B387" s="27" t="n">
        <v>4</v>
      </c>
      <c r="C387" s="27" t="s">
        <v>45</v>
      </c>
      <c r="D387" s="27" t="s">
        <v>24</v>
      </c>
      <c r="E387" s="27" t="s">
        <v>50</v>
      </c>
      <c r="F387" s="28" t="n">
        <v>1894</v>
      </c>
      <c r="G387" s="29" t="n">
        <v>2260</v>
      </c>
      <c r="H387" s="29" t="n">
        <f aca="false">F387*G387</f>
        <v>4280440</v>
      </c>
    </row>
    <row r="388" customFormat="false" ht="15" hidden="false" customHeight="false" outlineLevel="0" collapsed="false">
      <c r="A388" s="27" t="n">
        <v>2024</v>
      </c>
      <c r="B388" s="27" t="n">
        <v>4</v>
      </c>
      <c r="C388" s="27" t="s">
        <v>45</v>
      </c>
      <c r="D388" s="27" t="s">
        <v>24</v>
      </c>
      <c r="E388" s="27" t="s">
        <v>52</v>
      </c>
      <c r="F388" s="28" t="n">
        <v>1103</v>
      </c>
      <c r="G388" s="29" t="n">
        <v>2260</v>
      </c>
      <c r="H388" s="29" t="n">
        <f aca="false">F388*G388</f>
        <v>2492780</v>
      </c>
    </row>
    <row r="389" customFormat="false" ht="15" hidden="false" customHeight="false" outlineLevel="0" collapsed="false">
      <c r="A389" s="27" t="n">
        <v>2024</v>
      </c>
      <c r="B389" s="27" t="n">
        <v>4</v>
      </c>
      <c r="C389" s="27" t="s">
        <v>45</v>
      </c>
      <c r="D389" s="27" t="s">
        <v>24</v>
      </c>
      <c r="E389" s="27" t="s">
        <v>54</v>
      </c>
      <c r="F389" s="28" t="n">
        <v>872</v>
      </c>
      <c r="G389" s="29" t="n">
        <v>2240</v>
      </c>
      <c r="H389" s="29" t="n">
        <f aca="false">F389*G389</f>
        <v>1953280</v>
      </c>
    </row>
    <row r="390" customFormat="false" ht="15" hidden="false" customHeight="false" outlineLevel="0" collapsed="false">
      <c r="A390" s="27" t="n">
        <v>2024</v>
      </c>
      <c r="B390" s="27" t="n">
        <v>4</v>
      </c>
      <c r="C390" s="27" t="s">
        <v>45</v>
      </c>
      <c r="D390" s="27" t="s">
        <v>24</v>
      </c>
      <c r="E390" s="27" t="s">
        <v>56</v>
      </c>
      <c r="F390" s="28" t="n">
        <v>978</v>
      </c>
      <c r="G390" s="29" t="n">
        <v>2240</v>
      </c>
      <c r="H390" s="29" t="n">
        <f aca="false">F390*G390</f>
        <v>2190720</v>
      </c>
    </row>
    <row r="391" customFormat="false" ht="15" hidden="false" customHeight="false" outlineLevel="0" collapsed="false">
      <c r="A391" s="27" t="n">
        <v>2024</v>
      </c>
      <c r="B391" s="27" t="n">
        <v>4</v>
      </c>
      <c r="C391" s="27" t="s">
        <v>45</v>
      </c>
      <c r="D391" s="27" t="s">
        <v>24</v>
      </c>
      <c r="E391" s="27" t="s">
        <v>58</v>
      </c>
      <c r="F391" s="28" t="n">
        <v>710</v>
      </c>
      <c r="G391" s="29" t="n">
        <v>2200</v>
      </c>
      <c r="H391" s="29" t="n">
        <f aca="false">F391*G391</f>
        <v>1562000</v>
      </c>
    </row>
    <row r="392" customFormat="false" ht="15" hidden="false" customHeight="false" outlineLevel="0" collapsed="false">
      <c r="A392" s="27" t="n">
        <v>2024</v>
      </c>
      <c r="B392" s="27" t="n">
        <v>4</v>
      </c>
      <c r="C392" s="27" t="s">
        <v>45</v>
      </c>
      <c r="D392" s="27" t="s">
        <v>26</v>
      </c>
      <c r="E392" s="27" t="s">
        <v>50</v>
      </c>
      <c r="F392" s="28" t="n">
        <v>837</v>
      </c>
      <c r="G392" s="29" t="n">
        <v>2690</v>
      </c>
      <c r="H392" s="29" t="n">
        <f aca="false">F392*G392</f>
        <v>2251530</v>
      </c>
    </row>
    <row r="393" customFormat="false" ht="15" hidden="false" customHeight="false" outlineLevel="0" collapsed="false">
      <c r="A393" s="27" t="n">
        <v>2024</v>
      </c>
      <c r="B393" s="27" t="n">
        <v>4</v>
      </c>
      <c r="C393" s="27" t="s">
        <v>45</v>
      </c>
      <c r="D393" s="27" t="s">
        <v>26</v>
      </c>
      <c r="E393" s="27" t="s">
        <v>52</v>
      </c>
      <c r="F393" s="28" t="n">
        <v>572</v>
      </c>
      <c r="G393" s="29" t="n">
        <v>2710</v>
      </c>
      <c r="H393" s="29" t="n">
        <f aca="false">F393*G393</f>
        <v>1550120</v>
      </c>
    </row>
    <row r="394" customFormat="false" ht="15" hidden="false" customHeight="false" outlineLevel="0" collapsed="false">
      <c r="A394" s="27" t="n">
        <v>2024</v>
      </c>
      <c r="B394" s="27" t="n">
        <v>4</v>
      </c>
      <c r="C394" s="27" t="s">
        <v>45</v>
      </c>
      <c r="D394" s="27" t="s">
        <v>26</v>
      </c>
      <c r="E394" s="27" t="s">
        <v>54</v>
      </c>
      <c r="F394" s="28" t="n">
        <v>420</v>
      </c>
      <c r="G394" s="29" t="n">
        <v>2690</v>
      </c>
      <c r="H394" s="29" t="n">
        <f aca="false">F394*G394</f>
        <v>1129800</v>
      </c>
    </row>
    <row r="395" customFormat="false" ht="15" hidden="false" customHeight="false" outlineLevel="0" collapsed="false">
      <c r="A395" s="27" t="n">
        <v>2024</v>
      </c>
      <c r="B395" s="27" t="n">
        <v>4</v>
      </c>
      <c r="C395" s="27" t="s">
        <v>45</v>
      </c>
      <c r="D395" s="27" t="s">
        <v>26</v>
      </c>
      <c r="E395" s="27" t="s">
        <v>56</v>
      </c>
      <c r="F395" s="28" t="n">
        <v>499</v>
      </c>
      <c r="G395" s="29" t="n">
        <v>2680</v>
      </c>
      <c r="H395" s="29" t="n">
        <f aca="false">F395*G395</f>
        <v>1337320</v>
      </c>
    </row>
    <row r="396" customFormat="false" ht="15" hidden="false" customHeight="false" outlineLevel="0" collapsed="false">
      <c r="A396" s="27" t="n">
        <v>2024</v>
      </c>
      <c r="B396" s="27" t="n">
        <v>4</v>
      </c>
      <c r="C396" s="27" t="s">
        <v>45</v>
      </c>
      <c r="D396" s="27" t="s">
        <v>26</v>
      </c>
      <c r="E396" s="27" t="s">
        <v>58</v>
      </c>
      <c r="F396" s="28" t="n">
        <v>323</v>
      </c>
      <c r="G396" s="29" t="n">
        <v>2680</v>
      </c>
      <c r="H396" s="29" t="n">
        <f aca="false">F396*G396</f>
        <v>865640</v>
      </c>
    </row>
    <row r="397" customFormat="false" ht="15" hidden="false" customHeight="false" outlineLevel="0" collapsed="false">
      <c r="A397" s="27" t="n">
        <v>2024</v>
      </c>
      <c r="B397" s="27" t="n">
        <v>4</v>
      </c>
      <c r="C397" s="27" t="s">
        <v>45</v>
      </c>
      <c r="D397" s="27" t="s">
        <v>28</v>
      </c>
      <c r="E397" s="27" t="s">
        <v>50</v>
      </c>
      <c r="F397" s="28" t="n">
        <v>311</v>
      </c>
      <c r="G397" s="29" t="n">
        <v>2490</v>
      </c>
      <c r="H397" s="29" t="n">
        <f aca="false">F397*G397</f>
        <v>774390</v>
      </c>
    </row>
    <row r="398" customFormat="false" ht="15" hidden="false" customHeight="false" outlineLevel="0" collapsed="false">
      <c r="A398" s="27" t="n">
        <v>2024</v>
      </c>
      <c r="B398" s="27" t="n">
        <v>4</v>
      </c>
      <c r="C398" s="27" t="s">
        <v>45</v>
      </c>
      <c r="D398" s="27" t="s">
        <v>28</v>
      </c>
      <c r="E398" s="27" t="s">
        <v>52</v>
      </c>
      <c r="F398" s="28" t="n">
        <v>207</v>
      </c>
      <c r="G398" s="29" t="n">
        <v>2530</v>
      </c>
      <c r="H398" s="29" t="n">
        <f aca="false">F398*G398</f>
        <v>523710</v>
      </c>
    </row>
    <row r="399" customFormat="false" ht="15" hidden="false" customHeight="false" outlineLevel="0" collapsed="false">
      <c r="A399" s="27" t="n">
        <v>2024</v>
      </c>
      <c r="B399" s="27" t="n">
        <v>4</v>
      </c>
      <c r="C399" s="27" t="s">
        <v>45</v>
      </c>
      <c r="D399" s="27" t="s">
        <v>28</v>
      </c>
      <c r="E399" s="27" t="s">
        <v>54</v>
      </c>
      <c r="F399" s="28" t="n">
        <v>147</v>
      </c>
      <c r="G399" s="29" t="n">
        <v>2520</v>
      </c>
      <c r="H399" s="29" t="n">
        <f aca="false">F399*G399</f>
        <v>370440</v>
      </c>
    </row>
    <row r="400" customFormat="false" ht="15" hidden="false" customHeight="false" outlineLevel="0" collapsed="false">
      <c r="A400" s="27" t="n">
        <v>2024</v>
      </c>
      <c r="B400" s="27" t="n">
        <v>4</v>
      </c>
      <c r="C400" s="27" t="s">
        <v>45</v>
      </c>
      <c r="D400" s="27" t="s">
        <v>28</v>
      </c>
      <c r="E400" s="27" t="s">
        <v>56</v>
      </c>
      <c r="F400" s="28" t="n">
        <v>201</v>
      </c>
      <c r="G400" s="29" t="n">
        <v>2550</v>
      </c>
      <c r="H400" s="29" t="n">
        <f aca="false">F400*G400</f>
        <v>512550</v>
      </c>
    </row>
    <row r="401" customFormat="false" ht="15" hidden="false" customHeight="false" outlineLevel="0" collapsed="false">
      <c r="A401" s="27" t="n">
        <v>2024</v>
      </c>
      <c r="B401" s="27" t="n">
        <v>4</v>
      </c>
      <c r="C401" s="27" t="s">
        <v>45</v>
      </c>
      <c r="D401" s="27" t="s">
        <v>28</v>
      </c>
      <c r="E401" s="27" t="s">
        <v>58</v>
      </c>
      <c r="F401" s="28" t="n">
        <v>138</v>
      </c>
      <c r="G401" s="29" t="n">
        <v>2520</v>
      </c>
      <c r="H401" s="29" t="n">
        <f aca="false">F401*G401</f>
        <v>347760</v>
      </c>
    </row>
    <row r="402" customFormat="false" ht="15" hidden="false" customHeight="false" outlineLevel="0" collapsed="false">
      <c r="A402" s="27" t="n">
        <v>2024</v>
      </c>
      <c r="B402" s="27" t="n">
        <v>5</v>
      </c>
      <c r="C402" s="27" t="s">
        <v>38</v>
      </c>
      <c r="D402" s="27" t="s">
        <v>22</v>
      </c>
      <c r="E402" s="27" t="s">
        <v>50</v>
      </c>
      <c r="F402" s="28" t="n">
        <v>7968</v>
      </c>
      <c r="G402" s="29" t="n">
        <v>2570</v>
      </c>
      <c r="H402" s="29" t="n">
        <f aca="false">F402*G402</f>
        <v>20477760</v>
      </c>
    </row>
    <row r="403" customFormat="false" ht="15" hidden="false" customHeight="false" outlineLevel="0" collapsed="false">
      <c r="A403" s="27" t="n">
        <v>2024</v>
      </c>
      <c r="B403" s="27" t="n">
        <v>5</v>
      </c>
      <c r="C403" s="27" t="s">
        <v>38</v>
      </c>
      <c r="D403" s="27" t="s">
        <v>22</v>
      </c>
      <c r="E403" s="27" t="s">
        <v>52</v>
      </c>
      <c r="F403" s="28" t="n">
        <v>5290</v>
      </c>
      <c r="G403" s="29" t="n">
        <v>2610</v>
      </c>
      <c r="H403" s="29" t="n">
        <f aca="false">F403*G403</f>
        <v>13806900</v>
      </c>
    </row>
    <row r="404" customFormat="false" ht="15" hidden="false" customHeight="false" outlineLevel="0" collapsed="false">
      <c r="A404" s="27" t="n">
        <v>2024</v>
      </c>
      <c r="B404" s="27" t="n">
        <v>5</v>
      </c>
      <c r="C404" s="27" t="s">
        <v>38</v>
      </c>
      <c r="D404" s="27" t="s">
        <v>22</v>
      </c>
      <c r="E404" s="27" t="s">
        <v>54</v>
      </c>
      <c r="F404" s="28" t="n">
        <v>4428</v>
      </c>
      <c r="G404" s="29" t="n">
        <v>2630</v>
      </c>
      <c r="H404" s="29" t="n">
        <f aca="false">F404*G404</f>
        <v>11645640</v>
      </c>
    </row>
    <row r="405" customFormat="false" ht="15" hidden="false" customHeight="false" outlineLevel="0" collapsed="false">
      <c r="A405" s="27" t="n">
        <v>2024</v>
      </c>
      <c r="B405" s="27" t="n">
        <v>5</v>
      </c>
      <c r="C405" s="27" t="s">
        <v>38</v>
      </c>
      <c r="D405" s="27" t="s">
        <v>22</v>
      </c>
      <c r="E405" s="27" t="s">
        <v>56</v>
      </c>
      <c r="F405" s="28" t="n">
        <v>4907</v>
      </c>
      <c r="G405" s="29" t="n">
        <v>2570</v>
      </c>
      <c r="H405" s="29" t="n">
        <f aca="false">F405*G405</f>
        <v>12610990</v>
      </c>
    </row>
    <row r="406" customFormat="false" ht="15" hidden="false" customHeight="false" outlineLevel="0" collapsed="false">
      <c r="A406" s="27" t="n">
        <v>2024</v>
      </c>
      <c r="B406" s="27" t="n">
        <v>5</v>
      </c>
      <c r="C406" s="27" t="s">
        <v>38</v>
      </c>
      <c r="D406" s="27" t="s">
        <v>22</v>
      </c>
      <c r="E406" s="27" t="s">
        <v>58</v>
      </c>
      <c r="F406" s="28" t="n">
        <v>3326</v>
      </c>
      <c r="G406" s="29" t="n">
        <v>2610</v>
      </c>
      <c r="H406" s="29" t="n">
        <f aca="false">F406*G406</f>
        <v>8680860</v>
      </c>
    </row>
    <row r="407" customFormat="false" ht="15" hidden="false" customHeight="false" outlineLevel="0" collapsed="false">
      <c r="A407" s="27" t="n">
        <v>2024</v>
      </c>
      <c r="B407" s="27" t="n">
        <v>5</v>
      </c>
      <c r="C407" s="27" t="s">
        <v>38</v>
      </c>
      <c r="D407" s="27" t="s">
        <v>24</v>
      </c>
      <c r="E407" s="27" t="s">
        <v>50</v>
      </c>
      <c r="F407" s="28" t="n">
        <v>4447</v>
      </c>
      <c r="G407" s="29" t="n">
        <v>2400</v>
      </c>
      <c r="H407" s="29" t="n">
        <f aca="false">F407*G407</f>
        <v>10672800</v>
      </c>
    </row>
    <row r="408" customFormat="false" ht="15" hidden="false" customHeight="false" outlineLevel="0" collapsed="false">
      <c r="A408" s="27" t="n">
        <v>2024</v>
      </c>
      <c r="B408" s="27" t="n">
        <v>5</v>
      </c>
      <c r="C408" s="27" t="s">
        <v>38</v>
      </c>
      <c r="D408" s="27" t="s">
        <v>24</v>
      </c>
      <c r="E408" s="27" t="s">
        <v>52</v>
      </c>
      <c r="F408" s="28" t="n">
        <v>2844</v>
      </c>
      <c r="G408" s="29" t="n">
        <v>2410</v>
      </c>
      <c r="H408" s="29" t="n">
        <f aca="false">F408*G408</f>
        <v>6854040</v>
      </c>
    </row>
    <row r="409" customFormat="false" ht="15" hidden="false" customHeight="false" outlineLevel="0" collapsed="false">
      <c r="A409" s="27" t="n">
        <v>2024</v>
      </c>
      <c r="B409" s="27" t="n">
        <v>5</v>
      </c>
      <c r="C409" s="27" t="s">
        <v>38</v>
      </c>
      <c r="D409" s="27" t="s">
        <v>24</v>
      </c>
      <c r="E409" s="27" t="s">
        <v>54</v>
      </c>
      <c r="F409" s="28" t="n">
        <v>2176</v>
      </c>
      <c r="G409" s="29" t="n">
        <v>2430</v>
      </c>
      <c r="H409" s="29" t="n">
        <f aca="false">F409*G409</f>
        <v>5287680</v>
      </c>
    </row>
    <row r="410" customFormat="false" ht="15" hidden="false" customHeight="false" outlineLevel="0" collapsed="false">
      <c r="A410" s="27" t="n">
        <v>2024</v>
      </c>
      <c r="B410" s="27" t="n">
        <v>5</v>
      </c>
      <c r="C410" s="27" t="s">
        <v>38</v>
      </c>
      <c r="D410" s="27" t="s">
        <v>24</v>
      </c>
      <c r="E410" s="27" t="s">
        <v>56</v>
      </c>
      <c r="F410" s="28" t="n">
        <v>2614</v>
      </c>
      <c r="G410" s="29" t="n">
        <v>2420</v>
      </c>
      <c r="H410" s="29" t="n">
        <f aca="false">F410*G410</f>
        <v>6325880</v>
      </c>
    </row>
    <row r="411" customFormat="false" ht="15" hidden="false" customHeight="false" outlineLevel="0" collapsed="false">
      <c r="A411" s="27" t="n">
        <v>2024</v>
      </c>
      <c r="B411" s="27" t="n">
        <v>5</v>
      </c>
      <c r="C411" s="27" t="s">
        <v>38</v>
      </c>
      <c r="D411" s="27" t="s">
        <v>24</v>
      </c>
      <c r="E411" s="27" t="s">
        <v>58</v>
      </c>
      <c r="F411" s="28" t="n">
        <v>1850</v>
      </c>
      <c r="G411" s="29" t="n">
        <v>2390</v>
      </c>
      <c r="H411" s="29" t="n">
        <f aca="false">F411*G411</f>
        <v>4421500</v>
      </c>
    </row>
    <row r="412" customFormat="false" ht="15" hidden="false" customHeight="false" outlineLevel="0" collapsed="false">
      <c r="A412" s="27" t="n">
        <v>2024</v>
      </c>
      <c r="B412" s="27" t="n">
        <v>5</v>
      </c>
      <c r="C412" s="27" t="s">
        <v>38</v>
      </c>
      <c r="D412" s="27" t="s">
        <v>26</v>
      </c>
      <c r="E412" s="27" t="s">
        <v>50</v>
      </c>
      <c r="F412" s="28" t="n">
        <v>2111</v>
      </c>
      <c r="G412" s="29" t="n">
        <v>2950</v>
      </c>
      <c r="H412" s="29" t="n">
        <f aca="false">F412*G412</f>
        <v>6227450</v>
      </c>
    </row>
    <row r="413" customFormat="false" ht="15" hidden="false" customHeight="false" outlineLevel="0" collapsed="false">
      <c r="A413" s="27" t="n">
        <v>2024</v>
      </c>
      <c r="B413" s="27" t="n">
        <v>5</v>
      </c>
      <c r="C413" s="27" t="s">
        <v>38</v>
      </c>
      <c r="D413" s="27" t="s">
        <v>26</v>
      </c>
      <c r="E413" s="27" t="s">
        <v>52</v>
      </c>
      <c r="F413" s="28" t="n">
        <v>1273</v>
      </c>
      <c r="G413" s="29" t="n">
        <v>2850</v>
      </c>
      <c r="H413" s="29" t="n">
        <f aca="false">F413*G413</f>
        <v>3628050</v>
      </c>
    </row>
    <row r="414" customFormat="false" ht="15" hidden="false" customHeight="false" outlineLevel="0" collapsed="false">
      <c r="A414" s="27" t="n">
        <v>2024</v>
      </c>
      <c r="B414" s="27" t="n">
        <v>5</v>
      </c>
      <c r="C414" s="27" t="s">
        <v>38</v>
      </c>
      <c r="D414" s="27" t="s">
        <v>26</v>
      </c>
      <c r="E414" s="27" t="s">
        <v>54</v>
      </c>
      <c r="F414" s="28" t="n">
        <v>981</v>
      </c>
      <c r="G414" s="29" t="n">
        <v>2910</v>
      </c>
      <c r="H414" s="29" t="n">
        <f aca="false">F414*G414</f>
        <v>2854710</v>
      </c>
    </row>
    <row r="415" customFormat="false" ht="15" hidden="false" customHeight="false" outlineLevel="0" collapsed="false">
      <c r="A415" s="27" t="n">
        <v>2024</v>
      </c>
      <c r="B415" s="27" t="n">
        <v>5</v>
      </c>
      <c r="C415" s="27" t="s">
        <v>38</v>
      </c>
      <c r="D415" s="27" t="s">
        <v>26</v>
      </c>
      <c r="E415" s="27" t="s">
        <v>56</v>
      </c>
      <c r="F415" s="28" t="n">
        <v>1286</v>
      </c>
      <c r="G415" s="29" t="n">
        <v>2910</v>
      </c>
      <c r="H415" s="29" t="n">
        <f aca="false">F415*G415</f>
        <v>3742260</v>
      </c>
    </row>
    <row r="416" customFormat="false" ht="15" hidden="false" customHeight="false" outlineLevel="0" collapsed="false">
      <c r="A416" s="27" t="n">
        <v>2024</v>
      </c>
      <c r="B416" s="27" t="n">
        <v>5</v>
      </c>
      <c r="C416" s="27" t="s">
        <v>38</v>
      </c>
      <c r="D416" s="27" t="s">
        <v>26</v>
      </c>
      <c r="E416" s="27" t="s">
        <v>58</v>
      </c>
      <c r="F416" s="28" t="n">
        <v>932</v>
      </c>
      <c r="G416" s="29" t="n">
        <v>2830</v>
      </c>
      <c r="H416" s="29" t="n">
        <f aca="false">F416*G416</f>
        <v>2637560</v>
      </c>
    </row>
    <row r="417" customFormat="false" ht="15" hidden="false" customHeight="false" outlineLevel="0" collapsed="false">
      <c r="A417" s="27" t="n">
        <v>2024</v>
      </c>
      <c r="B417" s="27" t="n">
        <v>5</v>
      </c>
      <c r="C417" s="27" t="s">
        <v>38</v>
      </c>
      <c r="D417" s="27" t="s">
        <v>28</v>
      </c>
      <c r="E417" s="27" t="s">
        <v>50</v>
      </c>
      <c r="F417" s="28" t="n">
        <v>848</v>
      </c>
      <c r="G417" s="29" t="n">
        <v>2770</v>
      </c>
      <c r="H417" s="29" t="n">
        <f aca="false">F417*G417</f>
        <v>2348960</v>
      </c>
    </row>
    <row r="418" customFormat="false" ht="15" hidden="false" customHeight="false" outlineLevel="0" collapsed="false">
      <c r="A418" s="27" t="n">
        <v>2024</v>
      </c>
      <c r="B418" s="27" t="n">
        <v>5</v>
      </c>
      <c r="C418" s="27" t="s">
        <v>38</v>
      </c>
      <c r="D418" s="27" t="s">
        <v>28</v>
      </c>
      <c r="E418" s="27" t="s">
        <v>52</v>
      </c>
      <c r="F418" s="28" t="n">
        <v>491</v>
      </c>
      <c r="G418" s="29" t="n">
        <v>2720</v>
      </c>
      <c r="H418" s="29" t="n">
        <f aca="false">F418*G418</f>
        <v>1335520</v>
      </c>
    </row>
    <row r="419" customFormat="false" ht="15" hidden="false" customHeight="false" outlineLevel="0" collapsed="false">
      <c r="A419" s="27" t="n">
        <v>2024</v>
      </c>
      <c r="B419" s="27" t="n">
        <v>5</v>
      </c>
      <c r="C419" s="27" t="s">
        <v>38</v>
      </c>
      <c r="D419" s="27" t="s">
        <v>28</v>
      </c>
      <c r="E419" s="27" t="s">
        <v>54</v>
      </c>
      <c r="F419" s="28" t="n">
        <v>400</v>
      </c>
      <c r="G419" s="29" t="n">
        <v>2710</v>
      </c>
      <c r="H419" s="29" t="n">
        <f aca="false">F419*G419</f>
        <v>1084000</v>
      </c>
    </row>
    <row r="420" customFormat="false" ht="15" hidden="false" customHeight="false" outlineLevel="0" collapsed="false">
      <c r="A420" s="27" t="n">
        <v>2024</v>
      </c>
      <c r="B420" s="27" t="n">
        <v>5</v>
      </c>
      <c r="C420" s="27" t="s">
        <v>38</v>
      </c>
      <c r="D420" s="27" t="s">
        <v>28</v>
      </c>
      <c r="E420" s="27" t="s">
        <v>56</v>
      </c>
      <c r="F420" s="28" t="n">
        <v>486</v>
      </c>
      <c r="G420" s="29" t="n">
        <v>2770</v>
      </c>
      <c r="H420" s="29" t="n">
        <f aca="false">F420*G420</f>
        <v>1346220</v>
      </c>
    </row>
    <row r="421" customFormat="false" ht="15" hidden="false" customHeight="false" outlineLevel="0" collapsed="false">
      <c r="A421" s="27" t="n">
        <v>2024</v>
      </c>
      <c r="B421" s="27" t="n">
        <v>5</v>
      </c>
      <c r="C421" s="27" t="s">
        <v>38</v>
      </c>
      <c r="D421" s="27" t="s">
        <v>28</v>
      </c>
      <c r="E421" s="27" t="s">
        <v>58</v>
      </c>
      <c r="F421" s="28" t="n">
        <v>369</v>
      </c>
      <c r="G421" s="29" t="n">
        <v>2720</v>
      </c>
      <c r="H421" s="29" t="n">
        <f aca="false">F421*G421</f>
        <v>1003680</v>
      </c>
    </row>
    <row r="422" customFormat="false" ht="15" hidden="false" customHeight="false" outlineLevel="0" collapsed="false">
      <c r="A422" s="27" t="n">
        <v>2024</v>
      </c>
      <c r="B422" s="27" t="n">
        <v>5</v>
      </c>
      <c r="C422" s="27" t="s">
        <v>40</v>
      </c>
      <c r="D422" s="27" t="s">
        <v>22</v>
      </c>
      <c r="E422" s="27" t="s">
        <v>50</v>
      </c>
      <c r="F422" s="28" t="n">
        <v>5650</v>
      </c>
      <c r="G422" s="29" t="n">
        <v>2300</v>
      </c>
      <c r="H422" s="29" t="n">
        <f aca="false">F422*G422</f>
        <v>12995000</v>
      </c>
    </row>
    <row r="423" customFormat="false" ht="15" hidden="false" customHeight="false" outlineLevel="0" collapsed="false">
      <c r="A423" s="27" t="n">
        <v>2024</v>
      </c>
      <c r="B423" s="27" t="n">
        <v>5</v>
      </c>
      <c r="C423" s="27" t="s">
        <v>40</v>
      </c>
      <c r="D423" s="27" t="s">
        <v>22</v>
      </c>
      <c r="E423" s="27" t="s">
        <v>52</v>
      </c>
      <c r="F423" s="28" t="n">
        <v>3507</v>
      </c>
      <c r="G423" s="29" t="n">
        <v>2300</v>
      </c>
      <c r="H423" s="29" t="n">
        <f aca="false">F423*G423</f>
        <v>8066100</v>
      </c>
    </row>
    <row r="424" customFormat="false" ht="15" hidden="false" customHeight="false" outlineLevel="0" collapsed="false">
      <c r="A424" s="27" t="n">
        <v>2024</v>
      </c>
      <c r="B424" s="27" t="n">
        <v>5</v>
      </c>
      <c r="C424" s="27" t="s">
        <v>40</v>
      </c>
      <c r="D424" s="27" t="s">
        <v>22</v>
      </c>
      <c r="E424" s="27" t="s">
        <v>54</v>
      </c>
      <c r="F424" s="28" t="n">
        <v>2596</v>
      </c>
      <c r="G424" s="29" t="n">
        <v>2310</v>
      </c>
      <c r="H424" s="29" t="n">
        <f aca="false">F424*G424</f>
        <v>5996760</v>
      </c>
    </row>
    <row r="425" customFormat="false" ht="15" hidden="false" customHeight="false" outlineLevel="0" collapsed="false">
      <c r="A425" s="27" t="n">
        <v>2024</v>
      </c>
      <c r="B425" s="27" t="n">
        <v>5</v>
      </c>
      <c r="C425" s="27" t="s">
        <v>40</v>
      </c>
      <c r="D425" s="27" t="s">
        <v>22</v>
      </c>
      <c r="E425" s="27" t="s">
        <v>56</v>
      </c>
      <c r="F425" s="28" t="n">
        <v>3550</v>
      </c>
      <c r="G425" s="29" t="n">
        <v>2320</v>
      </c>
      <c r="H425" s="29" t="n">
        <f aca="false">F425*G425</f>
        <v>8236000</v>
      </c>
    </row>
    <row r="426" customFormat="false" ht="15" hidden="false" customHeight="false" outlineLevel="0" collapsed="false">
      <c r="A426" s="27" t="n">
        <v>2024</v>
      </c>
      <c r="B426" s="27" t="n">
        <v>5</v>
      </c>
      <c r="C426" s="27" t="s">
        <v>40</v>
      </c>
      <c r="D426" s="27" t="s">
        <v>22</v>
      </c>
      <c r="E426" s="27" t="s">
        <v>58</v>
      </c>
      <c r="F426" s="28" t="n">
        <v>2021</v>
      </c>
      <c r="G426" s="29" t="n">
        <v>2320</v>
      </c>
      <c r="H426" s="29" t="n">
        <f aca="false">F426*G426</f>
        <v>4688720</v>
      </c>
    </row>
    <row r="427" customFormat="false" ht="15" hidden="false" customHeight="false" outlineLevel="0" collapsed="false">
      <c r="A427" s="27" t="n">
        <v>2024</v>
      </c>
      <c r="B427" s="27" t="n">
        <v>5</v>
      </c>
      <c r="C427" s="27" t="s">
        <v>40</v>
      </c>
      <c r="D427" s="27" t="s">
        <v>24</v>
      </c>
      <c r="E427" s="27" t="s">
        <v>50</v>
      </c>
      <c r="F427" s="28" t="n">
        <v>2735</v>
      </c>
      <c r="G427" s="29" t="n">
        <v>2130</v>
      </c>
      <c r="H427" s="29" t="n">
        <f aca="false">F427*G427</f>
        <v>5825550</v>
      </c>
    </row>
    <row r="428" customFormat="false" ht="15" hidden="false" customHeight="false" outlineLevel="0" collapsed="false">
      <c r="A428" s="27" t="n">
        <v>2024</v>
      </c>
      <c r="B428" s="27" t="n">
        <v>5</v>
      </c>
      <c r="C428" s="27" t="s">
        <v>40</v>
      </c>
      <c r="D428" s="27" t="s">
        <v>24</v>
      </c>
      <c r="E428" s="27" t="s">
        <v>52</v>
      </c>
      <c r="F428" s="28" t="n">
        <v>1820</v>
      </c>
      <c r="G428" s="29" t="n">
        <v>2140</v>
      </c>
      <c r="H428" s="29" t="n">
        <f aca="false">F428*G428</f>
        <v>3894800</v>
      </c>
    </row>
    <row r="429" customFormat="false" ht="15" hidden="false" customHeight="false" outlineLevel="0" collapsed="false">
      <c r="A429" s="27" t="n">
        <v>2024</v>
      </c>
      <c r="B429" s="27" t="n">
        <v>5</v>
      </c>
      <c r="C429" s="27" t="s">
        <v>40</v>
      </c>
      <c r="D429" s="27" t="s">
        <v>24</v>
      </c>
      <c r="E429" s="27" t="s">
        <v>54</v>
      </c>
      <c r="F429" s="28" t="n">
        <v>1412</v>
      </c>
      <c r="G429" s="29" t="n">
        <v>2140</v>
      </c>
      <c r="H429" s="29" t="n">
        <f aca="false">F429*G429</f>
        <v>3021680</v>
      </c>
    </row>
    <row r="430" customFormat="false" ht="15" hidden="false" customHeight="false" outlineLevel="0" collapsed="false">
      <c r="A430" s="27" t="n">
        <v>2024</v>
      </c>
      <c r="B430" s="27" t="n">
        <v>5</v>
      </c>
      <c r="C430" s="27" t="s">
        <v>40</v>
      </c>
      <c r="D430" s="27" t="s">
        <v>24</v>
      </c>
      <c r="E430" s="27" t="s">
        <v>56</v>
      </c>
      <c r="F430" s="28" t="n">
        <v>1682</v>
      </c>
      <c r="G430" s="29" t="n">
        <v>2150</v>
      </c>
      <c r="H430" s="29" t="n">
        <f aca="false">F430*G430</f>
        <v>3616300</v>
      </c>
    </row>
    <row r="431" customFormat="false" ht="15" hidden="false" customHeight="false" outlineLevel="0" collapsed="false">
      <c r="A431" s="27" t="n">
        <v>2024</v>
      </c>
      <c r="B431" s="27" t="n">
        <v>5</v>
      </c>
      <c r="C431" s="27" t="s">
        <v>40</v>
      </c>
      <c r="D431" s="27" t="s">
        <v>24</v>
      </c>
      <c r="E431" s="27" t="s">
        <v>58</v>
      </c>
      <c r="F431" s="28" t="n">
        <v>1022</v>
      </c>
      <c r="G431" s="29" t="n">
        <v>2150</v>
      </c>
      <c r="H431" s="29" t="n">
        <f aca="false">F431*G431</f>
        <v>2197300</v>
      </c>
    </row>
    <row r="432" customFormat="false" ht="15" hidden="false" customHeight="false" outlineLevel="0" collapsed="false">
      <c r="A432" s="27" t="n">
        <v>2024</v>
      </c>
      <c r="B432" s="27" t="n">
        <v>5</v>
      </c>
      <c r="C432" s="27" t="s">
        <v>40</v>
      </c>
      <c r="D432" s="27" t="s">
        <v>26</v>
      </c>
      <c r="E432" s="27" t="s">
        <v>50</v>
      </c>
      <c r="F432" s="28" t="n">
        <v>1275</v>
      </c>
      <c r="G432" s="29" t="n">
        <v>2540</v>
      </c>
      <c r="H432" s="29" t="n">
        <f aca="false">F432*G432</f>
        <v>3238500</v>
      </c>
    </row>
    <row r="433" customFormat="false" ht="15" hidden="false" customHeight="false" outlineLevel="0" collapsed="false">
      <c r="A433" s="27" t="n">
        <v>2024</v>
      </c>
      <c r="B433" s="27" t="n">
        <v>5</v>
      </c>
      <c r="C433" s="27" t="s">
        <v>40</v>
      </c>
      <c r="D433" s="27" t="s">
        <v>26</v>
      </c>
      <c r="E433" s="27" t="s">
        <v>52</v>
      </c>
      <c r="F433" s="28" t="n">
        <v>836</v>
      </c>
      <c r="G433" s="29" t="n">
        <v>2580</v>
      </c>
      <c r="H433" s="29" t="n">
        <f aca="false">F433*G433</f>
        <v>2156880</v>
      </c>
    </row>
    <row r="434" customFormat="false" ht="15" hidden="false" customHeight="false" outlineLevel="0" collapsed="false">
      <c r="A434" s="27" t="n">
        <v>2024</v>
      </c>
      <c r="B434" s="27" t="n">
        <v>5</v>
      </c>
      <c r="C434" s="27" t="s">
        <v>40</v>
      </c>
      <c r="D434" s="27" t="s">
        <v>26</v>
      </c>
      <c r="E434" s="27" t="s">
        <v>54</v>
      </c>
      <c r="F434" s="28" t="n">
        <v>647</v>
      </c>
      <c r="G434" s="29" t="n">
        <v>2600</v>
      </c>
      <c r="H434" s="29" t="n">
        <f aca="false">F434*G434</f>
        <v>1682200</v>
      </c>
    </row>
    <row r="435" customFormat="false" ht="15" hidden="false" customHeight="false" outlineLevel="0" collapsed="false">
      <c r="A435" s="27" t="n">
        <v>2024</v>
      </c>
      <c r="B435" s="27" t="n">
        <v>5</v>
      </c>
      <c r="C435" s="27" t="s">
        <v>40</v>
      </c>
      <c r="D435" s="27" t="s">
        <v>26</v>
      </c>
      <c r="E435" s="27" t="s">
        <v>56</v>
      </c>
      <c r="F435" s="28" t="n">
        <v>743</v>
      </c>
      <c r="G435" s="29" t="n">
        <v>2570</v>
      </c>
      <c r="H435" s="29" t="n">
        <f aca="false">F435*G435</f>
        <v>1909510</v>
      </c>
    </row>
    <row r="436" customFormat="false" ht="15" hidden="false" customHeight="false" outlineLevel="0" collapsed="false">
      <c r="A436" s="27" t="n">
        <v>2024</v>
      </c>
      <c r="B436" s="27" t="n">
        <v>5</v>
      </c>
      <c r="C436" s="27" t="s">
        <v>40</v>
      </c>
      <c r="D436" s="27" t="s">
        <v>26</v>
      </c>
      <c r="E436" s="27" t="s">
        <v>58</v>
      </c>
      <c r="F436" s="28" t="n">
        <v>529</v>
      </c>
      <c r="G436" s="29" t="n">
        <v>2570</v>
      </c>
      <c r="H436" s="29" t="n">
        <f aca="false">F436*G436</f>
        <v>1359530</v>
      </c>
    </row>
    <row r="437" customFormat="false" ht="15" hidden="false" customHeight="false" outlineLevel="0" collapsed="false">
      <c r="A437" s="27" t="n">
        <v>2024</v>
      </c>
      <c r="B437" s="27" t="n">
        <v>5</v>
      </c>
      <c r="C437" s="27" t="s">
        <v>40</v>
      </c>
      <c r="D437" s="27" t="s">
        <v>28</v>
      </c>
      <c r="E437" s="27" t="s">
        <v>50</v>
      </c>
      <c r="F437" s="28" t="n">
        <v>523</v>
      </c>
      <c r="G437" s="29" t="n">
        <v>2390</v>
      </c>
      <c r="H437" s="29" t="n">
        <f aca="false">F437*G437</f>
        <v>1249970</v>
      </c>
    </row>
    <row r="438" customFormat="false" ht="15" hidden="false" customHeight="false" outlineLevel="0" collapsed="false">
      <c r="A438" s="27" t="n">
        <v>2024</v>
      </c>
      <c r="B438" s="27" t="n">
        <v>5</v>
      </c>
      <c r="C438" s="27" t="s">
        <v>40</v>
      </c>
      <c r="D438" s="27" t="s">
        <v>28</v>
      </c>
      <c r="E438" s="27" t="s">
        <v>52</v>
      </c>
      <c r="F438" s="28" t="n">
        <v>334</v>
      </c>
      <c r="G438" s="29" t="n">
        <v>2420</v>
      </c>
      <c r="H438" s="29" t="n">
        <f aca="false">F438*G438</f>
        <v>808280</v>
      </c>
    </row>
    <row r="439" customFormat="false" ht="15" hidden="false" customHeight="false" outlineLevel="0" collapsed="false">
      <c r="A439" s="27" t="n">
        <v>2024</v>
      </c>
      <c r="B439" s="27" t="n">
        <v>5</v>
      </c>
      <c r="C439" s="27" t="s">
        <v>40</v>
      </c>
      <c r="D439" s="27" t="s">
        <v>28</v>
      </c>
      <c r="E439" s="27" t="s">
        <v>54</v>
      </c>
      <c r="F439" s="28" t="n">
        <v>234</v>
      </c>
      <c r="G439" s="29" t="n">
        <v>2370</v>
      </c>
      <c r="H439" s="29" t="n">
        <f aca="false">F439*G439</f>
        <v>554580</v>
      </c>
    </row>
    <row r="440" customFormat="false" ht="15" hidden="false" customHeight="false" outlineLevel="0" collapsed="false">
      <c r="A440" s="27" t="n">
        <v>2024</v>
      </c>
      <c r="B440" s="27" t="n">
        <v>5</v>
      </c>
      <c r="C440" s="27" t="s">
        <v>40</v>
      </c>
      <c r="D440" s="27" t="s">
        <v>28</v>
      </c>
      <c r="E440" s="27" t="s">
        <v>56</v>
      </c>
      <c r="F440" s="28" t="n">
        <v>306</v>
      </c>
      <c r="G440" s="29" t="n">
        <v>2410</v>
      </c>
      <c r="H440" s="29" t="n">
        <f aca="false">F440*G440</f>
        <v>737460</v>
      </c>
    </row>
    <row r="441" customFormat="false" ht="15" hidden="false" customHeight="false" outlineLevel="0" collapsed="false">
      <c r="A441" s="27" t="n">
        <v>2024</v>
      </c>
      <c r="B441" s="27" t="n">
        <v>5</v>
      </c>
      <c r="C441" s="27" t="s">
        <v>40</v>
      </c>
      <c r="D441" s="27" t="s">
        <v>28</v>
      </c>
      <c r="E441" s="27" t="s">
        <v>58</v>
      </c>
      <c r="F441" s="28" t="n">
        <v>208</v>
      </c>
      <c r="G441" s="29" t="n">
        <v>2410</v>
      </c>
      <c r="H441" s="29" t="n">
        <f aca="false">F441*G441</f>
        <v>501280</v>
      </c>
    </row>
    <row r="442" customFormat="false" ht="15" hidden="false" customHeight="false" outlineLevel="0" collapsed="false">
      <c r="A442" s="27" t="n">
        <v>2024</v>
      </c>
      <c r="B442" s="27" t="n">
        <v>5</v>
      </c>
      <c r="C442" s="27" t="s">
        <v>42</v>
      </c>
      <c r="D442" s="27" t="s">
        <v>22</v>
      </c>
      <c r="E442" s="27" t="s">
        <v>50</v>
      </c>
      <c r="F442" s="28" t="n">
        <v>4628</v>
      </c>
      <c r="G442" s="29" t="n">
        <v>2120</v>
      </c>
      <c r="H442" s="29" t="n">
        <f aca="false">F442*G442</f>
        <v>9811360</v>
      </c>
    </row>
    <row r="443" customFormat="false" ht="15" hidden="false" customHeight="false" outlineLevel="0" collapsed="false">
      <c r="A443" s="27" t="n">
        <v>2024</v>
      </c>
      <c r="B443" s="27" t="n">
        <v>5</v>
      </c>
      <c r="C443" s="27" t="s">
        <v>42</v>
      </c>
      <c r="D443" s="27" t="s">
        <v>22</v>
      </c>
      <c r="E443" s="27" t="s">
        <v>52</v>
      </c>
      <c r="F443" s="28" t="n">
        <v>2701</v>
      </c>
      <c r="G443" s="29" t="n">
        <v>2080</v>
      </c>
      <c r="H443" s="29" t="n">
        <f aca="false">F443*G443</f>
        <v>5618080</v>
      </c>
    </row>
    <row r="444" customFormat="false" ht="15" hidden="false" customHeight="false" outlineLevel="0" collapsed="false">
      <c r="A444" s="27" t="n">
        <v>2024</v>
      </c>
      <c r="B444" s="27" t="n">
        <v>5</v>
      </c>
      <c r="C444" s="27" t="s">
        <v>42</v>
      </c>
      <c r="D444" s="27" t="s">
        <v>22</v>
      </c>
      <c r="E444" s="27" t="s">
        <v>54</v>
      </c>
      <c r="F444" s="28" t="n">
        <v>2163</v>
      </c>
      <c r="G444" s="29" t="n">
        <v>2110</v>
      </c>
      <c r="H444" s="29" t="n">
        <f aca="false">F444*G444</f>
        <v>4563930</v>
      </c>
    </row>
    <row r="445" customFormat="false" ht="15" hidden="false" customHeight="false" outlineLevel="0" collapsed="false">
      <c r="A445" s="27" t="n">
        <v>2024</v>
      </c>
      <c r="B445" s="27" t="n">
        <v>5</v>
      </c>
      <c r="C445" s="27" t="s">
        <v>42</v>
      </c>
      <c r="D445" s="27" t="s">
        <v>22</v>
      </c>
      <c r="E445" s="27" t="s">
        <v>56</v>
      </c>
      <c r="F445" s="28" t="n">
        <v>2886</v>
      </c>
      <c r="G445" s="29" t="n">
        <v>2090</v>
      </c>
      <c r="H445" s="29" t="n">
        <f aca="false">F445*G445</f>
        <v>6031740</v>
      </c>
    </row>
    <row r="446" customFormat="false" ht="15" hidden="false" customHeight="false" outlineLevel="0" collapsed="false">
      <c r="A446" s="27" t="n">
        <v>2024</v>
      </c>
      <c r="B446" s="27" t="n">
        <v>5</v>
      </c>
      <c r="C446" s="27" t="s">
        <v>42</v>
      </c>
      <c r="D446" s="27" t="s">
        <v>22</v>
      </c>
      <c r="E446" s="27" t="s">
        <v>58</v>
      </c>
      <c r="F446" s="28" t="n">
        <v>1626</v>
      </c>
      <c r="G446" s="29" t="n">
        <v>2060</v>
      </c>
      <c r="H446" s="29" t="n">
        <f aca="false">F446*G446</f>
        <v>3349560</v>
      </c>
    </row>
    <row r="447" customFormat="false" ht="15" hidden="false" customHeight="false" outlineLevel="0" collapsed="false">
      <c r="A447" s="27" t="n">
        <v>2024</v>
      </c>
      <c r="B447" s="27" t="n">
        <v>5</v>
      </c>
      <c r="C447" s="27" t="s">
        <v>42</v>
      </c>
      <c r="D447" s="27" t="s">
        <v>24</v>
      </c>
      <c r="E447" s="27" t="s">
        <v>50</v>
      </c>
      <c r="F447" s="28" t="n">
        <v>2368</v>
      </c>
      <c r="G447" s="29" t="n">
        <v>1940</v>
      </c>
      <c r="H447" s="29" t="n">
        <f aca="false">F447*G447</f>
        <v>4593920</v>
      </c>
    </row>
    <row r="448" customFormat="false" ht="15" hidden="false" customHeight="false" outlineLevel="0" collapsed="false">
      <c r="A448" s="27" t="n">
        <v>2024</v>
      </c>
      <c r="B448" s="27" t="n">
        <v>5</v>
      </c>
      <c r="C448" s="27" t="s">
        <v>42</v>
      </c>
      <c r="D448" s="27" t="s">
        <v>24</v>
      </c>
      <c r="E448" s="27" t="s">
        <v>52</v>
      </c>
      <c r="F448" s="28" t="n">
        <v>1513</v>
      </c>
      <c r="G448" s="29" t="n">
        <v>1950</v>
      </c>
      <c r="H448" s="29" t="n">
        <f aca="false">F448*G448</f>
        <v>2950350</v>
      </c>
    </row>
    <row r="449" customFormat="false" ht="15" hidden="false" customHeight="false" outlineLevel="0" collapsed="false">
      <c r="A449" s="27" t="n">
        <v>2024</v>
      </c>
      <c r="B449" s="27" t="n">
        <v>5</v>
      </c>
      <c r="C449" s="27" t="s">
        <v>42</v>
      </c>
      <c r="D449" s="27" t="s">
        <v>24</v>
      </c>
      <c r="E449" s="27" t="s">
        <v>54</v>
      </c>
      <c r="F449" s="28" t="n">
        <v>1216</v>
      </c>
      <c r="G449" s="29" t="n">
        <v>1970</v>
      </c>
      <c r="H449" s="29" t="n">
        <f aca="false">F449*G449</f>
        <v>2395520</v>
      </c>
    </row>
    <row r="450" customFormat="false" ht="15" hidden="false" customHeight="false" outlineLevel="0" collapsed="false">
      <c r="A450" s="27" t="n">
        <v>2024</v>
      </c>
      <c r="B450" s="27" t="n">
        <v>5</v>
      </c>
      <c r="C450" s="27" t="s">
        <v>42</v>
      </c>
      <c r="D450" s="27" t="s">
        <v>24</v>
      </c>
      <c r="E450" s="27" t="s">
        <v>56</v>
      </c>
      <c r="F450" s="28" t="n">
        <v>1418</v>
      </c>
      <c r="G450" s="29" t="n">
        <v>1940</v>
      </c>
      <c r="H450" s="29" t="n">
        <f aca="false">F450*G450</f>
        <v>2750920</v>
      </c>
    </row>
    <row r="451" customFormat="false" ht="15" hidden="false" customHeight="false" outlineLevel="0" collapsed="false">
      <c r="A451" s="27" t="n">
        <v>2024</v>
      </c>
      <c r="B451" s="27" t="n">
        <v>5</v>
      </c>
      <c r="C451" s="27" t="s">
        <v>42</v>
      </c>
      <c r="D451" s="27" t="s">
        <v>24</v>
      </c>
      <c r="E451" s="27" t="s">
        <v>58</v>
      </c>
      <c r="F451" s="28" t="n">
        <v>1028</v>
      </c>
      <c r="G451" s="29" t="n">
        <v>1920</v>
      </c>
      <c r="H451" s="29" t="n">
        <f aca="false">F451*G451</f>
        <v>1973760</v>
      </c>
    </row>
    <row r="452" customFormat="false" ht="15" hidden="false" customHeight="false" outlineLevel="0" collapsed="false">
      <c r="A452" s="27" t="n">
        <v>2024</v>
      </c>
      <c r="B452" s="27" t="n">
        <v>5</v>
      </c>
      <c r="C452" s="27" t="s">
        <v>42</v>
      </c>
      <c r="D452" s="27" t="s">
        <v>26</v>
      </c>
      <c r="E452" s="27" t="s">
        <v>50</v>
      </c>
      <c r="F452" s="28" t="n">
        <v>1213</v>
      </c>
      <c r="G452" s="29" t="n">
        <v>2350</v>
      </c>
      <c r="H452" s="29" t="n">
        <f aca="false">F452*G452</f>
        <v>2850550</v>
      </c>
    </row>
    <row r="453" customFormat="false" ht="15" hidden="false" customHeight="false" outlineLevel="0" collapsed="false">
      <c r="A453" s="27" t="n">
        <v>2024</v>
      </c>
      <c r="B453" s="27" t="n">
        <v>5</v>
      </c>
      <c r="C453" s="27" t="s">
        <v>42</v>
      </c>
      <c r="D453" s="27" t="s">
        <v>26</v>
      </c>
      <c r="E453" s="27" t="s">
        <v>52</v>
      </c>
      <c r="F453" s="28" t="n">
        <v>738</v>
      </c>
      <c r="G453" s="29" t="n">
        <v>2390</v>
      </c>
      <c r="H453" s="29" t="n">
        <f aca="false">F453*G453</f>
        <v>1763820</v>
      </c>
    </row>
    <row r="454" customFormat="false" ht="15" hidden="false" customHeight="false" outlineLevel="0" collapsed="false">
      <c r="A454" s="27" t="n">
        <v>2024</v>
      </c>
      <c r="B454" s="27" t="n">
        <v>5</v>
      </c>
      <c r="C454" s="27" t="s">
        <v>42</v>
      </c>
      <c r="D454" s="27" t="s">
        <v>26</v>
      </c>
      <c r="E454" s="27" t="s">
        <v>54</v>
      </c>
      <c r="F454" s="28" t="n">
        <v>576</v>
      </c>
      <c r="G454" s="29" t="n">
        <v>2400</v>
      </c>
      <c r="H454" s="29" t="n">
        <f aca="false">F454*G454</f>
        <v>1382400</v>
      </c>
    </row>
    <row r="455" customFormat="false" ht="15" hidden="false" customHeight="false" outlineLevel="0" collapsed="false">
      <c r="A455" s="27" t="n">
        <v>2024</v>
      </c>
      <c r="B455" s="27" t="n">
        <v>5</v>
      </c>
      <c r="C455" s="27" t="s">
        <v>42</v>
      </c>
      <c r="D455" s="27" t="s">
        <v>26</v>
      </c>
      <c r="E455" s="27" t="s">
        <v>56</v>
      </c>
      <c r="F455" s="28" t="n">
        <v>698</v>
      </c>
      <c r="G455" s="29" t="n">
        <v>2320</v>
      </c>
      <c r="H455" s="29" t="n">
        <f aca="false">F455*G455</f>
        <v>1619360</v>
      </c>
    </row>
    <row r="456" customFormat="false" ht="15" hidden="false" customHeight="false" outlineLevel="0" collapsed="false">
      <c r="A456" s="27" t="n">
        <v>2024</v>
      </c>
      <c r="B456" s="27" t="n">
        <v>5</v>
      </c>
      <c r="C456" s="27" t="s">
        <v>42</v>
      </c>
      <c r="D456" s="27" t="s">
        <v>26</v>
      </c>
      <c r="E456" s="27" t="s">
        <v>58</v>
      </c>
      <c r="F456" s="28" t="n">
        <v>485</v>
      </c>
      <c r="G456" s="29" t="n">
        <v>2330</v>
      </c>
      <c r="H456" s="29" t="n">
        <f aca="false">F456*G456</f>
        <v>1130050</v>
      </c>
    </row>
    <row r="457" customFormat="false" ht="15" hidden="false" customHeight="false" outlineLevel="0" collapsed="false">
      <c r="A457" s="27" t="n">
        <v>2024</v>
      </c>
      <c r="B457" s="27" t="n">
        <v>5</v>
      </c>
      <c r="C457" s="27" t="s">
        <v>42</v>
      </c>
      <c r="D457" s="27" t="s">
        <v>28</v>
      </c>
      <c r="E457" s="27" t="s">
        <v>50</v>
      </c>
      <c r="F457" s="28" t="n">
        <v>440</v>
      </c>
      <c r="G457" s="29" t="n">
        <v>2210</v>
      </c>
      <c r="H457" s="29" t="n">
        <f aca="false">F457*G457</f>
        <v>972400</v>
      </c>
    </row>
    <row r="458" customFormat="false" ht="15" hidden="false" customHeight="false" outlineLevel="0" collapsed="false">
      <c r="A458" s="27" t="n">
        <v>2024</v>
      </c>
      <c r="B458" s="27" t="n">
        <v>5</v>
      </c>
      <c r="C458" s="27" t="s">
        <v>42</v>
      </c>
      <c r="D458" s="27" t="s">
        <v>28</v>
      </c>
      <c r="E458" s="27" t="s">
        <v>52</v>
      </c>
      <c r="F458" s="28" t="n">
        <v>294</v>
      </c>
      <c r="G458" s="29" t="n">
        <v>2190</v>
      </c>
      <c r="H458" s="29" t="n">
        <f aca="false">F458*G458</f>
        <v>643860</v>
      </c>
    </row>
    <row r="459" customFormat="false" ht="15" hidden="false" customHeight="false" outlineLevel="0" collapsed="false">
      <c r="A459" s="27" t="n">
        <v>2024</v>
      </c>
      <c r="B459" s="27" t="n">
        <v>5</v>
      </c>
      <c r="C459" s="27" t="s">
        <v>42</v>
      </c>
      <c r="D459" s="27" t="s">
        <v>28</v>
      </c>
      <c r="E459" s="27" t="s">
        <v>54</v>
      </c>
      <c r="F459" s="28" t="n">
        <v>240</v>
      </c>
      <c r="G459" s="29" t="n">
        <v>2230</v>
      </c>
      <c r="H459" s="29" t="n">
        <f aca="false">F459*G459</f>
        <v>535200</v>
      </c>
    </row>
    <row r="460" customFormat="false" ht="15" hidden="false" customHeight="false" outlineLevel="0" collapsed="false">
      <c r="A460" s="27" t="n">
        <v>2024</v>
      </c>
      <c r="B460" s="27" t="n">
        <v>5</v>
      </c>
      <c r="C460" s="27" t="s">
        <v>42</v>
      </c>
      <c r="D460" s="27" t="s">
        <v>28</v>
      </c>
      <c r="E460" s="27" t="s">
        <v>56</v>
      </c>
      <c r="F460" s="28" t="n">
        <v>291</v>
      </c>
      <c r="G460" s="29" t="n">
        <v>2220</v>
      </c>
      <c r="H460" s="29" t="n">
        <f aca="false">F460*G460</f>
        <v>646020</v>
      </c>
    </row>
    <row r="461" customFormat="false" ht="15" hidden="false" customHeight="false" outlineLevel="0" collapsed="false">
      <c r="A461" s="27" t="n">
        <v>2024</v>
      </c>
      <c r="B461" s="27" t="n">
        <v>5</v>
      </c>
      <c r="C461" s="27" t="s">
        <v>42</v>
      </c>
      <c r="D461" s="27" t="s">
        <v>28</v>
      </c>
      <c r="E461" s="27" t="s">
        <v>58</v>
      </c>
      <c r="F461" s="28" t="n">
        <v>199</v>
      </c>
      <c r="G461" s="29" t="n">
        <v>2160</v>
      </c>
      <c r="H461" s="29" t="n">
        <f aca="false">F461*G461</f>
        <v>429840</v>
      </c>
    </row>
    <row r="462" customFormat="false" ht="15" hidden="false" customHeight="false" outlineLevel="0" collapsed="false">
      <c r="A462" s="27" t="n">
        <v>2024</v>
      </c>
      <c r="B462" s="27" t="n">
        <v>5</v>
      </c>
      <c r="C462" s="27" t="s">
        <v>44</v>
      </c>
      <c r="D462" s="27" t="s">
        <v>22</v>
      </c>
      <c r="E462" s="27" t="s">
        <v>50</v>
      </c>
      <c r="F462" s="28" t="n">
        <v>2456</v>
      </c>
      <c r="G462" s="29" t="n">
        <v>3870</v>
      </c>
      <c r="H462" s="29" t="n">
        <f aca="false">F462*G462</f>
        <v>9504720</v>
      </c>
    </row>
    <row r="463" customFormat="false" ht="15" hidden="false" customHeight="false" outlineLevel="0" collapsed="false">
      <c r="A463" s="27" t="n">
        <v>2024</v>
      </c>
      <c r="B463" s="27" t="n">
        <v>5</v>
      </c>
      <c r="C463" s="27" t="s">
        <v>44</v>
      </c>
      <c r="D463" s="27" t="s">
        <v>22</v>
      </c>
      <c r="E463" s="27" t="s">
        <v>52</v>
      </c>
      <c r="F463" s="28" t="n">
        <v>1569</v>
      </c>
      <c r="G463" s="29" t="n">
        <v>3880</v>
      </c>
      <c r="H463" s="29" t="n">
        <f aca="false">F463*G463</f>
        <v>6087720</v>
      </c>
    </row>
    <row r="464" customFormat="false" ht="15" hidden="false" customHeight="false" outlineLevel="0" collapsed="false">
      <c r="A464" s="27" t="n">
        <v>2024</v>
      </c>
      <c r="B464" s="27" t="n">
        <v>5</v>
      </c>
      <c r="C464" s="27" t="s">
        <v>44</v>
      </c>
      <c r="D464" s="27" t="s">
        <v>22</v>
      </c>
      <c r="E464" s="27" t="s">
        <v>54</v>
      </c>
      <c r="F464" s="28" t="n">
        <v>1238</v>
      </c>
      <c r="G464" s="29" t="n">
        <v>3970</v>
      </c>
      <c r="H464" s="29" t="n">
        <f aca="false">F464*G464</f>
        <v>4914860</v>
      </c>
    </row>
    <row r="465" customFormat="false" ht="15" hidden="false" customHeight="false" outlineLevel="0" collapsed="false">
      <c r="A465" s="27" t="n">
        <v>2024</v>
      </c>
      <c r="B465" s="27" t="n">
        <v>5</v>
      </c>
      <c r="C465" s="27" t="s">
        <v>44</v>
      </c>
      <c r="D465" s="27" t="s">
        <v>22</v>
      </c>
      <c r="E465" s="27" t="s">
        <v>56</v>
      </c>
      <c r="F465" s="28" t="n">
        <v>1469</v>
      </c>
      <c r="G465" s="29" t="n">
        <v>3920</v>
      </c>
      <c r="H465" s="29" t="n">
        <f aca="false">F465*G465</f>
        <v>5758480</v>
      </c>
    </row>
    <row r="466" customFormat="false" ht="15" hidden="false" customHeight="false" outlineLevel="0" collapsed="false">
      <c r="A466" s="27" t="n">
        <v>2024</v>
      </c>
      <c r="B466" s="27" t="n">
        <v>5</v>
      </c>
      <c r="C466" s="27" t="s">
        <v>44</v>
      </c>
      <c r="D466" s="27" t="s">
        <v>22</v>
      </c>
      <c r="E466" s="27" t="s">
        <v>58</v>
      </c>
      <c r="F466" s="28" t="n">
        <v>1002</v>
      </c>
      <c r="G466" s="29" t="n">
        <v>3900</v>
      </c>
      <c r="H466" s="29" t="n">
        <f aca="false">F466*G466</f>
        <v>3907800</v>
      </c>
    </row>
    <row r="467" customFormat="false" ht="15" hidden="false" customHeight="false" outlineLevel="0" collapsed="false">
      <c r="A467" s="27" t="n">
        <v>2024</v>
      </c>
      <c r="B467" s="27" t="n">
        <v>5</v>
      </c>
      <c r="C467" s="27" t="s">
        <v>44</v>
      </c>
      <c r="D467" s="27" t="s">
        <v>24</v>
      </c>
      <c r="E467" s="27" t="s">
        <v>50</v>
      </c>
      <c r="F467" s="28" t="n">
        <v>1348</v>
      </c>
      <c r="G467" s="29" t="n">
        <v>3640</v>
      </c>
      <c r="H467" s="29" t="n">
        <f aca="false">F467*G467</f>
        <v>4906720</v>
      </c>
    </row>
    <row r="468" customFormat="false" ht="15" hidden="false" customHeight="false" outlineLevel="0" collapsed="false">
      <c r="A468" s="27" t="n">
        <v>2024</v>
      </c>
      <c r="B468" s="27" t="n">
        <v>5</v>
      </c>
      <c r="C468" s="27" t="s">
        <v>44</v>
      </c>
      <c r="D468" s="27" t="s">
        <v>24</v>
      </c>
      <c r="E468" s="27" t="s">
        <v>52</v>
      </c>
      <c r="F468" s="28" t="n">
        <v>891</v>
      </c>
      <c r="G468" s="29" t="n">
        <v>3690</v>
      </c>
      <c r="H468" s="29" t="n">
        <f aca="false">F468*G468</f>
        <v>3287790</v>
      </c>
    </row>
    <row r="469" customFormat="false" ht="15" hidden="false" customHeight="false" outlineLevel="0" collapsed="false">
      <c r="A469" s="27" t="n">
        <v>2024</v>
      </c>
      <c r="B469" s="27" t="n">
        <v>5</v>
      </c>
      <c r="C469" s="27" t="s">
        <v>44</v>
      </c>
      <c r="D469" s="27" t="s">
        <v>24</v>
      </c>
      <c r="E469" s="27" t="s">
        <v>54</v>
      </c>
      <c r="F469" s="28" t="n">
        <v>684</v>
      </c>
      <c r="G469" s="29" t="n">
        <v>3650</v>
      </c>
      <c r="H469" s="29" t="n">
        <f aca="false">F469*G469</f>
        <v>2496600</v>
      </c>
    </row>
    <row r="470" customFormat="false" ht="15" hidden="false" customHeight="false" outlineLevel="0" collapsed="false">
      <c r="A470" s="27" t="n">
        <v>2024</v>
      </c>
      <c r="B470" s="27" t="n">
        <v>5</v>
      </c>
      <c r="C470" s="27" t="s">
        <v>44</v>
      </c>
      <c r="D470" s="27" t="s">
        <v>24</v>
      </c>
      <c r="E470" s="27" t="s">
        <v>56</v>
      </c>
      <c r="F470" s="28" t="n">
        <v>754</v>
      </c>
      <c r="G470" s="29" t="n">
        <v>3620</v>
      </c>
      <c r="H470" s="29" t="n">
        <f aca="false">F470*G470</f>
        <v>2729480</v>
      </c>
    </row>
    <row r="471" customFormat="false" ht="15" hidden="false" customHeight="false" outlineLevel="0" collapsed="false">
      <c r="A471" s="27" t="n">
        <v>2024</v>
      </c>
      <c r="B471" s="27" t="n">
        <v>5</v>
      </c>
      <c r="C471" s="27" t="s">
        <v>44</v>
      </c>
      <c r="D471" s="27" t="s">
        <v>24</v>
      </c>
      <c r="E471" s="27" t="s">
        <v>58</v>
      </c>
      <c r="F471" s="28" t="n">
        <v>573</v>
      </c>
      <c r="G471" s="29" t="n">
        <v>3660</v>
      </c>
      <c r="H471" s="29" t="n">
        <f aca="false">F471*G471</f>
        <v>2097180</v>
      </c>
    </row>
    <row r="472" customFormat="false" ht="15" hidden="false" customHeight="false" outlineLevel="0" collapsed="false">
      <c r="A472" s="27" t="n">
        <v>2024</v>
      </c>
      <c r="B472" s="27" t="n">
        <v>5</v>
      </c>
      <c r="C472" s="27" t="s">
        <v>44</v>
      </c>
      <c r="D472" s="27" t="s">
        <v>26</v>
      </c>
      <c r="E472" s="27" t="s">
        <v>50</v>
      </c>
      <c r="F472" s="28" t="n">
        <v>656</v>
      </c>
      <c r="G472" s="29" t="n">
        <v>4410</v>
      </c>
      <c r="H472" s="29" t="n">
        <f aca="false">F472*G472</f>
        <v>2892960</v>
      </c>
    </row>
    <row r="473" customFormat="false" ht="15" hidden="false" customHeight="false" outlineLevel="0" collapsed="false">
      <c r="A473" s="27" t="n">
        <v>2024</v>
      </c>
      <c r="B473" s="27" t="n">
        <v>5</v>
      </c>
      <c r="C473" s="27" t="s">
        <v>44</v>
      </c>
      <c r="D473" s="27" t="s">
        <v>26</v>
      </c>
      <c r="E473" s="27" t="s">
        <v>52</v>
      </c>
      <c r="F473" s="28" t="n">
        <v>416</v>
      </c>
      <c r="G473" s="29" t="n">
        <v>4420</v>
      </c>
      <c r="H473" s="29" t="n">
        <f aca="false">F473*G473</f>
        <v>1838720</v>
      </c>
    </row>
    <row r="474" customFormat="false" ht="15" hidden="false" customHeight="false" outlineLevel="0" collapsed="false">
      <c r="A474" s="27" t="n">
        <v>2024</v>
      </c>
      <c r="B474" s="27" t="n">
        <v>5</v>
      </c>
      <c r="C474" s="27" t="s">
        <v>44</v>
      </c>
      <c r="D474" s="27" t="s">
        <v>26</v>
      </c>
      <c r="E474" s="27" t="s">
        <v>54</v>
      </c>
      <c r="F474" s="28" t="n">
        <v>329</v>
      </c>
      <c r="G474" s="29" t="n">
        <v>4350</v>
      </c>
      <c r="H474" s="29" t="n">
        <f aca="false">F474*G474</f>
        <v>1431150</v>
      </c>
    </row>
    <row r="475" customFormat="false" ht="15" hidden="false" customHeight="false" outlineLevel="0" collapsed="false">
      <c r="A475" s="27" t="n">
        <v>2024</v>
      </c>
      <c r="B475" s="27" t="n">
        <v>5</v>
      </c>
      <c r="C475" s="27" t="s">
        <v>44</v>
      </c>
      <c r="D475" s="27" t="s">
        <v>26</v>
      </c>
      <c r="E475" s="27" t="s">
        <v>56</v>
      </c>
      <c r="F475" s="28" t="n">
        <v>392</v>
      </c>
      <c r="G475" s="29" t="n">
        <v>4240</v>
      </c>
      <c r="H475" s="29" t="n">
        <f aca="false">F475*G475</f>
        <v>1662080</v>
      </c>
    </row>
    <row r="476" customFormat="false" ht="15" hidden="false" customHeight="false" outlineLevel="0" collapsed="false">
      <c r="A476" s="27" t="n">
        <v>2024</v>
      </c>
      <c r="B476" s="27" t="n">
        <v>5</v>
      </c>
      <c r="C476" s="27" t="s">
        <v>44</v>
      </c>
      <c r="D476" s="27" t="s">
        <v>26</v>
      </c>
      <c r="E476" s="27" t="s">
        <v>58</v>
      </c>
      <c r="F476" s="28" t="n">
        <v>269</v>
      </c>
      <c r="G476" s="29" t="n">
        <v>4210</v>
      </c>
      <c r="H476" s="29" t="n">
        <f aca="false">F476*G476</f>
        <v>1132490</v>
      </c>
    </row>
    <row r="477" customFormat="false" ht="15" hidden="false" customHeight="false" outlineLevel="0" collapsed="false">
      <c r="A477" s="27" t="n">
        <v>2024</v>
      </c>
      <c r="B477" s="27" t="n">
        <v>5</v>
      </c>
      <c r="C477" s="27" t="s">
        <v>44</v>
      </c>
      <c r="D477" s="27" t="s">
        <v>28</v>
      </c>
      <c r="E477" s="27" t="s">
        <v>50</v>
      </c>
      <c r="F477" s="28" t="n">
        <v>228</v>
      </c>
      <c r="G477" s="29" t="n">
        <v>4110</v>
      </c>
      <c r="H477" s="29" t="n">
        <f aca="false">F477*G477</f>
        <v>937080</v>
      </c>
    </row>
    <row r="478" customFormat="false" ht="15" hidden="false" customHeight="false" outlineLevel="0" collapsed="false">
      <c r="A478" s="27" t="n">
        <v>2024</v>
      </c>
      <c r="B478" s="27" t="n">
        <v>5</v>
      </c>
      <c r="C478" s="27" t="s">
        <v>44</v>
      </c>
      <c r="D478" s="27" t="s">
        <v>28</v>
      </c>
      <c r="E478" s="27" t="s">
        <v>52</v>
      </c>
      <c r="F478" s="28" t="n">
        <v>160</v>
      </c>
      <c r="G478" s="29" t="n">
        <v>4050</v>
      </c>
      <c r="H478" s="29" t="n">
        <f aca="false">F478*G478</f>
        <v>648000</v>
      </c>
    </row>
    <row r="479" customFormat="false" ht="15" hidden="false" customHeight="false" outlineLevel="0" collapsed="false">
      <c r="A479" s="27" t="n">
        <v>2024</v>
      </c>
      <c r="B479" s="27" t="n">
        <v>5</v>
      </c>
      <c r="C479" s="27" t="s">
        <v>44</v>
      </c>
      <c r="D479" s="27" t="s">
        <v>28</v>
      </c>
      <c r="E479" s="27" t="s">
        <v>54</v>
      </c>
      <c r="F479" s="28" t="n">
        <v>120</v>
      </c>
      <c r="G479" s="29" t="n">
        <v>4150</v>
      </c>
      <c r="H479" s="29" t="n">
        <f aca="false">F479*G479</f>
        <v>498000</v>
      </c>
    </row>
    <row r="480" customFormat="false" ht="15" hidden="false" customHeight="false" outlineLevel="0" collapsed="false">
      <c r="A480" s="27" t="n">
        <v>2024</v>
      </c>
      <c r="B480" s="27" t="n">
        <v>5</v>
      </c>
      <c r="C480" s="27" t="s">
        <v>44</v>
      </c>
      <c r="D480" s="27" t="s">
        <v>28</v>
      </c>
      <c r="E480" s="27" t="s">
        <v>56</v>
      </c>
      <c r="F480" s="28" t="n">
        <v>145</v>
      </c>
      <c r="G480" s="29" t="n">
        <v>4190</v>
      </c>
      <c r="H480" s="29" t="n">
        <f aca="false">F480*G480</f>
        <v>607550</v>
      </c>
    </row>
    <row r="481" customFormat="false" ht="15" hidden="false" customHeight="false" outlineLevel="0" collapsed="false">
      <c r="A481" s="27" t="n">
        <v>2024</v>
      </c>
      <c r="B481" s="27" t="n">
        <v>5</v>
      </c>
      <c r="C481" s="27" t="s">
        <v>44</v>
      </c>
      <c r="D481" s="27" t="s">
        <v>28</v>
      </c>
      <c r="E481" s="27" t="s">
        <v>58</v>
      </c>
      <c r="F481" s="28" t="n">
        <v>101</v>
      </c>
      <c r="G481" s="29" t="n">
        <v>4110</v>
      </c>
      <c r="H481" s="29" t="n">
        <f aca="false">F481*G481</f>
        <v>415110</v>
      </c>
    </row>
    <row r="482" customFormat="false" ht="15" hidden="false" customHeight="false" outlineLevel="0" collapsed="false">
      <c r="A482" s="27" t="n">
        <v>2024</v>
      </c>
      <c r="B482" s="27" t="n">
        <v>5</v>
      </c>
      <c r="C482" s="27" t="s">
        <v>45</v>
      </c>
      <c r="D482" s="27" t="s">
        <v>22</v>
      </c>
      <c r="E482" s="27" t="s">
        <v>50</v>
      </c>
      <c r="F482" s="28" t="n">
        <v>3597</v>
      </c>
      <c r="G482" s="29" t="n">
        <v>2400</v>
      </c>
      <c r="H482" s="29" t="n">
        <f aca="false">F482*G482</f>
        <v>8632800</v>
      </c>
    </row>
    <row r="483" customFormat="false" ht="15" hidden="false" customHeight="false" outlineLevel="0" collapsed="false">
      <c r="A483" s="27" t="n">
        <v>2024</v>
      </c>
      <c r="B483" s="27" t="n">
        <v>5</v>
      </c>
      <c r="C483" s="27" t="s">
        <v>45</v>
      </c>
      <c r="D483" s="27" t="s">
        <v>22</v>
      </c>
      <c r="E483" s="27" t="s">
        <v>52</v>
      </c>
      <c r="F483" s="28" t="n">
        <v>1976</v>
      </c>
      <c r="G483" s="29" t="n">
        <v>2400</v>
      </c>
      <c r="H483" s="29" t="n">
        <f aca="false">F483*G483</f>
        <v>4742400</v>
      </c>
    </row>
    <row r="484" customFormat="false" ht="15" hidden="false" customHeight="false" outlineLevel="0" collapsed="false">
      <c r="A484" s="27" t="n">
        <v>2024</v>
      </c>
      <c r="B484" s="27" t="n">
        <v>5</v>
      </c>
      <c r="C484" s="27" t="s">
        <v>45</v>
      </c>
      <c r="D484" s="27" t="s">
        <v>22</v>
      </c>
      <c r="E484" s="27" t="s">
        <v>54</v>
      </c>
      <c r="F484" s="28" t="n">
        <v>1661</v>
      </c>
      <c r="G484" s="29" t="n">
        <v>2370</v>
      </c>
      <c r="H484" s="29" t="n">
        <f aca="false">F484*G484</f>
        <v>3936570</v>
      </c>
    </row>
    <row r="485" customFormat="false" ht="15" hidden="false" customHeight="false" outlineLevel="0" collapsed="false">
      <c r="A485" s="27" t="n">
        <v>2024</v>
      </c>
      <c r="B485" s="27" t="n">
        <v>5</v>
      </c>
      <c r="C485" s="27" t="s">
        <v>45</v>
      </c>
      <c r="D485" s="27" t="s">
        <v>22</v>
      </c>
      <c r="E485" s="27" t="s">
        <v>56</v>
      </c>
      <c r="F485" s="28" t="n">
        <v>1951</v>
      </c>
      <c r="G485" s="29" t="n">
        <v>2380</v>
      </c>
      <c r="H485" s="29" t="n">
        <f aca="false">F485*G485</f>
        <v>4643380</v>
      </c>
    </row>
    <row r="486" customFormat="false" ht="15" hidden="false" customHeight="false" outlineLevel="0" collapsed="false">
      <c r="A486" s="27" t="n">
        <v>2024</v>
      </c>
      <c r="B486" s="27" t="n">
        <v>5</v>
      </c>
      <c r="C486" s="27" t="s">
        <v>45</v>
      </c>
      <c r="D486" s="27" t="s">
        <v>22</v>
      </c>
      <c r="E486" s="27" t="s">
        <v>58</v>
      </c>
      <c r="F486" s="28" t="n">
        <v>1414</v>
      </c>
      <c r="G486" s="29" t="n">
        <v>2400</v>
      </c>
      <c r="H486" s="29" t="n">
        <f aca="false">F486*G486</f>
        <v>3393600</v>
      </c>
    </row>
    <row r="487" customFormat="false" ht="15" hidden="false" customHeight="false" outlineLevel="0" collapsed="false">
      <c r="A487" s="27" t="n">
        <v>2024</v>
      </c>
      <c r="B487" s="27" t="n">
        <v>5</v>
      </c>
      <c r="C487" s="27" t="s">
        <v>45</v>
      </c>
      <c r="D487" s="27" t="s">
        <v>24</v>
      </c>
      <c r="E487" s="27" t="s">
        <v>50</v>
      </c>
      <c r="F487" s="28" t="n">
        <v>1772</v>
      </c>
      <c r="G487" s="29" t="n">
        <v>2230</v>
      </c>
      <c r="H487" s="29" t="n">
        <f aca="false">F487*G487</f>
        <v>3951560</v>
      </c>
    </row>
    <row r="488" customFormat="false" ht="15" hidden="false" customHeight="false" outlineLevel="0" collapsed="false">
      <c r="A488" s="27" t="n">
        <v>2024</v>
      </c>
      <c r="B488" s="27" t="n">
        <v>5</v>
      </c>
      <c r="C488" s="27" t="s">
        <v>45</v>
      </c>
      <c r="D488" s="27" t="s">
        <v>24</v>
      </c>
      <c r="E488" s="27" t="s">
        <v>52</v>
      </c>
      <c r="F488" s="28" t="n">
        <v>1136</v>
      </c>
      <c r="G488" s="29" t="n">
        <v>2250</v>
      </c>
      <c r="H488" s="29" t="n">
        <f aca="false">F488*G488</f>
        <v>2556000</v>
      </c>
    </row>
    <row r="489" customFormat="false" ht="15" hidden="false" customHeight="false" outlineLevel="0" collapsed="false">
      <c r="A489" s="27" t="n">
        <v>2024</v>
      </c>
      <c r="B489" s="27" t="n">
        <v>5</v>
      </c>
      <c r="C489" s="27" t="s">
        <v>45</v>
      </c>
      <c r="D489" s="27" t="s">
        <v>24</v>
      </c>
      <c r="E489" s="27" t="s">
        <v>54</v>
      </c>
      <c r="F489" s="28" t="n">
        <v>854</v>
      </c>
      <c r="G489" s="29" t="n">
        <v>2210</v>
      </c>
      <c r="H489" s="29" t="n">
        <f aca="false">F489*G489</f>
        <v>1887340</v>
      </c>
    </row>
    <row r="490" customFormat="false" ht="15" hidden="false" customHeight="false" outlineLevel="0" collapsed="false">
      <c r="A490" s="27" t="n">
        <v>2024</v>
      </c>
      <c r="B490" s="27" t="n">
        <v>5</v>
      </c>
      <c r="C490" s="27" t="s">
        <v>45</v>
      </c>
      <c r="D490" s="27" t="s">
        <v>24</v>
      </c>
      <c r="E490" s="27" t="s">
        <v>56</v>
      </c>
      <c r="F490" s="28" t="n">
        <v>1126</v>
      </c>
      <c r="G490" s="29" t="n">
        <v>2220</v>
      </c>
      <c r="H490" s="29" t="n">
        <f aca="false">F490*G490</f>
        <v>2499720</v>
      </c>
    </row>
    <row r="491" customFormat="false" ht="15" hidden="false" customHeight="false" outlineLevel="0" collapsed="false">
      <c r="A491" s="27" t="n">
        <v>2024</v>
      </c>
      <c r="B491" s="27" t="n">
        <v>5</v>
      </c>
      <c r="C491" s="27" t="s">
        <v>45</v>
      </c>
      <c r="D491" s="27" t="s">
        <v>24</v>
      </c>
      <c r="E491" s="27" t="s">
        <v>58</v>
      </c>
      <c r="F491" s="28" t="n">
        <v>678</v>
      </c>
      <c r="G491" s="29" t="n">
        <v>2240</v>
      </c>
      <c r="H491" s="29" t="n">
        <f aca="false">F491*G491</f>
        <v>1518720</v>
      </c>
    </row>
    <row r="492" customFormat="false" ht="15" hidden="false" customHeight="false" outlineLevel="0" collapsed="false">
      <c r="A492" s="27" t="n">
        <v>2024</v>
      </c>
      <c r="B492" s="27" t="n">
        <v>5</v>
      </c>
      <c r="C492" s="27" t="s">
        <v>45</v>
      </c>
      <c r="D492" s="27" t="s">
        <v>26</v>
      </c>
      <c r="E492" s="27" t="s">
        <v>50</v>
      </c>
      <c r="F492" s="28" t="n">
        <v>885</v>
      </c>
      <c r="G492" s="29" t="n">
        <v>2650</v>
      </c>
      <c r="H492" s="29" t="n">
        <f aca="false">F492*G492</f>
        <v>2345250</v>
      </c>
    </row>
    <row r="493" customFormat="false" ht="15" hidden="false" customHeight="false" outlineLevel="0" collapsed="false">
      <c r="A493" s="27" t="n">
        <v>2024</v>
      </c>
      <c r="B493" s="27" t="n">
        <v>5</v>
      </c>
      <c r="C493" s="27" t="s">
        <v>45</v>
      </c>
      <c r="D493" s="27" t="s">
        <v>26</v>
      </c>
      <c r="E493" s="27" t="s">
        <v>52</v>
      </c>
      <c r="F493" s="28" t="n">
        <v>547</v>
      </c>
      <c r="G493" s="29" t="n">
        <v>2710</v>
      </c>
      <c r="H493" s="29" t="n">
        <f aca="false">F493*G493</f>
        <v>1482370</v>
      </c>
    </row>
    <row r="494" customFormat="false" ht="15" hidden="false" customHeight="false" outlineLevel="0" collapsed="false">
      <c r="A494" s="27" t="n">
        <v>2024</v>
      </c>
      <c r="B494" s="27" t="n">
        <v>5</v>
      </c>
      <c r="C494" s="27" t="s">
        <v>45</v>
      </c>
      <c r="D494" s="27" t="s">
        <v>26</v>
      </c>
      <c r="E494" s="27" t="s">
        <v>54</v>
      </c>
      <c r="F494" s="28" t="n">
        <v>441</v>
      </c>
      <c r="G494" s="29" t="n">
        <v>2700</v>
      </c>
      <c r="H494" s="29" t="n">
        <f aca="false">F494*G494</f>
        <v>1190700</v>
      </c>
    </row>
    <row r="495" customFormat="false" ht="15" hidden="false" customHeight="false" outlineLevel="0" collapsed="false">
      <c r="A495" s="27" t="n">
        <v>2024</v>
      </c>
      <c r="B495" s="27" t="n">
        <v>5</v>
      </c>
      <c r="C495" s="27" t="s">
        <v>45</v>
      </c>
      <c r="D495" s="27" t="s">
        <v>26</v>
      </c>
      <c r="E495" s="27" t="s">
        <v>56</v>
      </c>
      <c r="F495" s="28" t="n">
        <v>478</v>
      </c>
      <c r="G495" s="29" t="n">
        <v>2700</v>
      </c>
      <c r="H495" s="29" t="n">
        <f aca="false">F495*G495</f>
        <v>1290600</v>
      </c>
    </row>
    <row r="496" customFormat="false" ht="15" hidden="false" customHeight="false" outlineLevel="0" collapsed="false">
      <c r="A496" s="27" t="n">
        <v>2024</v>
      </c>
      <c r="B496" s="27" t="n">
        <v>5</v>
      </c>
      <c r="C496" s="27" t="s">
        <v>45</v>
      </c>
      <c r="D496" s="27" t="s">
        <v>26</v>
      </c>
      <c r="E496" s="27" t="s">
        <v>58</v>
      </c>
      <c r="F496" s="28" t="n">
        <v>346</v>
      </c>
      <c r="G496" s="29" t="n">
        <v>2680</v>
      </c>
      <c r="H496" s="29" t="n">
        <f aca="false">F496*G496</f>
        <v>927280</v>
      </c>
    </row>
    <row r="497" customFormat="false" ht="15" hidden="false" customHeight="false" outlineLevel="0" collapsed="false">
      <c r="A497" s="27" t="n">
        <v>2024</v>
      </c>
      <c r="B497" s="27" t="n">
        <v>5</v>
      </c>
      <c r="C497" s="27" t="s">
        <v>45</v>
      </c>
      <c r="D497" s="27" t="s">
        <v>28</v>
      </c>
      <c r="E497" s="27" t="s">
        <v>50</v>
      </c>
      <c r="F497" s="28" t="n">
        <v>347</v>
      </c>
      <c r="G497" s="29" t="n">
        <v>2560</v>
      </c>
      <c r="H497" s="29" t="n">
        <f aca="false">F497*G497</f>
        <v>888320</v>
      </c>
    </row>
    <row r="498" customFormat="false" ht="15" hidden="false" customHeight="false" outlineLevel="0" collapsed="false">
      <c r="A498" s="27" t="n">
        <v>2024</v>
      </c>
      <c r="B498" s="27" t="n">
        <v>5</v>
      </c>
      <c r="C498" s="27" t="s">
        <v>45</v>
      </c>
      <c r="D498" s="27" t="s">
        <v>28</v>
      </c>
      <c r="E498" s="27" t="s">
        <v>52</v>
      </c>
      <c r="F498" s="28" t="n">
        <v>227</v>
      </c>
      <c r="G498" s="29" t="n">
        <v>2550</v>
      </c>
      <c r="H498" s="29" t="n">
        <f aca="false">F498*G498</f>
        <v>578850</v>
      </c>
    </row>
    <row r="499" customFormat="false" ht="15" hidden="false" customHeight="false" outlineLevel="0" collapsed="false">
      <c r="A499" s="27" t="n">
        <v>2024</v>
      </c>
      <c r="B499" s="27" t="n">
        <v>5</v>
      </c>
      <c r="C499" s="27" t="s">
        <v>45</v>
      </c>
      <c r="D499" s="27" t="s">
        <v>28</v>
      </c>
      <c r="E499" s="27" t="s">
        <v>54</v>
      </c>
      <c r="F499" s="28" t="n">
        <v>165</v>
      </c>
      <c r="G499" s="29" t="n">
        <v>2530</v>
      </c>
      <c r="H499" s="29" t="n">
        <f aca="false">F499*G499</f>
        <v>417450</v>
      </c>
    </row>
    <row r="500" customFormat="false" ht="15" hidden="false" customHeight="false" outlineLevel="0" collapsed="false">
      <c r="A500" s="27" t="n">
        <v>2024</v>
      </c>
      <c r="B500" s="27" t="n">
        <v>5</v>
      </c>
      <c r="C500" s="27" t="s">
        <v>45</v>
      </c>
      <c r="D500" s="27" t="s">
        <v>28</v>
      </c>
      <c r="E500" s="27" t="s">
        <v>56</v>
      </c>
      <c r="F500" s="28" t="n">
        <v>205</v>
      </c>
      <c r="G500" s="29" t="n">
        <v>2520</v>
      </c>
      <c r="H500" s="29" t="n">
        <f aca="false">F500*G500</f>
        <v>516600</v>
      </c>
    </row>
    <row r="501" customFormat="false" ht="15" hidden="false" customHeight="false" outlineLevel="0" collapsed="false">
      <c r="A501" s="27" t="n">
        <v>2024</v>
      </c>
      <c r="B501" s="27" t="n">
        <v>5</v>
      </c>
      <c r="C501" s="27" t="s">
        <v>45</v>
      </c>
      <c r="D501" s="27" t="s">
        <v>28</v>
      </c>
      <c r="E501" s="27" t="s">
        <v>58</v>
      </c>
      <c r="F501" s="28" t="n">
        <v>136</v>
      </c>
      <c r="G501" s="29" t="n">
        <v>2540</v>
      </c>
      <c r="H501" s="29" t="n">
        <f aca="false">F501*G501</f>
        <v>345440</v>
      </c>
    </row>
    <row r="502" customFormat="false" ht="15" hidden="false" customHeight="false" outlineLevel="0" collapsed="false">
      <c r="A502" s="27" t="n">
        <v>2024</v>
      </c>
      <c r="B502" s="27" t="n">
        <v>6</v>
      </c>
      <c r="C502" s="27" t="s">
        <v>38</v>
      </c>
      <c r="D502" s="27" t="s">
        <v>22</v>
      </c>
      <c r="E502" s="27" t="s">
        <v>50</v>
      </c>
      <c r="F502" s="28" t="n">
        <v>9125</v>
      </c>
      <c r="G502" s="29" t="n">
        <v>2580</v>
      </c>
      <c r="H502" s="29" t="n">
        <f aca="false">F502*G502</f>
        <v>23542500</v>
      </c>
    </row>
    <row r="503" customFormat="false" ht="15" hidden="false" customHeight="false" outlineLevel="0" collapsed="false">
      <c r="A503" s="27" t="n">
        <v>2024</v>
      </c>
      <c r="B503" s="27" t="n">
        <v>6</v>
      </c>
      <c r="C503" s="27" t="s">
        <v>38</v>
      </c>
      <c r="D503" s="27" t="s">
        <v>22</v>
      </c>
      <c r="E503" s="27" t="s">
        <v>52</v>
      </c>
      <c r="F503" s="28" t="n">
        <v>5601</v>
      </c>
      <c r="G503" s="29" t="n">
        <v>2620</v>
      </c>
      <c r="H503" s="29" t="n">
        <f aca="false">F503*G503</f>
        <v>14674620</v>
      </c>
    </row>
    <row r="504" customFormat="false" ht="15" hidden="false" customHeight="false" outlineLevel="0" collapsed="false">
      <c r="A504" s="27" t="n">
        <v>2024</v>
      </c>
      <c r="B504" s="27" t="n">
        <v>6</v>
      </c>
      <c r="C504" s="27" t="s">
        <v>38</v>
      </c>
      <c r="D504" s="27" t="s">
        <v>22</v>
      </c>
      <c r="E504" s="27" t="s">
        <v>54</v>
      </c>
      <c r="F504" s="28" t="n">
        <v>4577</v>
      </c>
      <c r="G504" s="29" t="n">
        <v>2610</v>
      </c>
      <c r="H504" s="29" t="n">
        <f aca="false">F504*G504</f>
        <v>11945970</v>
      </c>
    </row>
    <row r="505" customFormat="false" ht="15" hidden="false" customHeight="false" outlineLevel="0" collapsed="false">
      <c r="A505" s="27" t="n">
        <v>2024</v>
      </c>
      <c r="B505" s="27" t="n">
        <v>6</v>
      </c>
      <c r="C505" s="27" t="s">
        <v>38</v>
      </c>
      <c r="D505" s="27" t="s">
        <v>22</v>
      </c>
      <c r="E505" s="27" t="s">
        <v>56</v>
      </c>
      <c r="F505" s="28" t="n">
        <v>5616</v>
      </c>
      <c r="G505" s="29" t="n">
        <v>2590</v>
      </c>
      <c r="H505" s="29" t="n">
        <f aca="false">F505*G505</f>
        <v>14545440</v>
      </c>
    </row>
    <row r="506" customFormat="false" ht="15" hidden="false" customHeight="false" outlineLevel="0" collapsed="false">
      <c r="A506" s="27" t="n">
        <v>2024</v>
      </c>
      <c r="B506" s="27" t="n">
        <v>6</v>
      </c>
      <c r="C506" s="27" t="s">
        <v>38</v>
      </c>
      <c r="D506" s="27" t="s">
        <v>22</v>
      </c>
      <c r="E506" s="27" t="s">
        <v>58</v>
      </c>
      <c r="F506" s="28" t="n">
        <v>3859</v>
      </c>
      <c r="G506" s="29" t="n">
        <v>2610</v>
      </c>
      <c r="H506" s="29" t="n">
        <f aca="false">F506*G506</f>
        <v>10071990</v>
      </c>
    </row>
    <row r="507" customFormat="false" ht="15" hidden="false" customHeight="false" outlineLevel="0" collapsed="false">
      <c r="A507" s="27" t="n">
        <v>2024</v>
      </c>
      <c r="B507" s="27" t="n">
        <v>6</v>
      </c>
      <c r="C507" s="27" t="s">
        <v>38</v>
      </c>
      <c r="D507" s="27" t="s">
        <v>24</v>
      </c>
      <c r="E507" s="27" t="s">
        <v>50</v>
      </c>
      <c r="F507" s="28" t="n">
        <v>4637</v>
      </c>
      <c r="G507" s="29" t="n">
        <v>2450</v>
      </c>
      <c r="H507" s="29" t="n">
        <f aca="false">F507*G507</f>
        <v>11360650</v>
      </c>
    </row>
    <row r="508" customFormat="false" ht="15" hidden="false" customHeight="false" outlineLevel="0" collapsed="false">
      <c r="A508" s="27" t="n">
        <v>2024</v>
      </c>
      <c r="B508" s="27" t="n">
        <v>6</v>
      </c>
      <c r="C508" s="27" t="s">
        <v>38</v>
      </c>
      <c r="D508" s="27" t="s">
        <v>24</v>
      </c>
      <c r="E508" s="27" t="s">
        <v>52</v>
      </c>
      <c r="F508" s="28" t="n">
        <v>3011</v>
      </c>
      <c r="G508" s="29" t="n">
        <v>2380</v>
      </c>
      <c r="H508" s="29" t="n">
        <f aca="false">F508*G508</f>
        <v>7166180</v>
      </c>
    </row>
    <row r="509" customFormat="false" ht="15" hidden="false" customHeight="false" outlineLevel="0" collapsed="false">
      <c r="A509" s="27" t="n">
        <v>2024</v>
      </c>
      <c r="B509" s="27" t="n">
        <v>6</v>
      </c>
      <c r="C509" s="27" t="s">
        <v>38</v>
      </c>
      <c r="D509" s="27" t="s">
        <v>24</v>
      </c>
      <c r="E509" s="27" t="s">
        <v>54</v>
      </c>
      <c r="F509" s="28" t="n">
        <v>2342</v>
      </c>
      <c r="G509" s="29" t="n">
        <v>2390</v>
      </c>
      <c r="H509" s="29" t="n">
        <f aca="false">F509*G509</f>
        <v>5597380</v>
      </c>
    </row>
    <row r="510" customFormat="false" ht="15" hidden="false" customHeight="false" outlineLevel="0" collapsed="false">
      <c r="A510" s="27" t="n">
        <v>2024</v>
      </c>
      <c r="B510" s="27" t="n">
        <v>6</v>
      </c>
      <c r="C510" s="27" t="s">
        <v>38</v>
      </c>
      <c r="D510" s="27" t="s">
        <v>24</v>
      </c>
      <c r="E510" s="27" t="s">
        <v>56</v>
      </c>
      <c r="F510" s="28" t="n">
        <v>2942</v>
      </c>
      <c r="G510" s="29" t="n">
        <v>2410</v>
      </c>
      <c r="H510" s="29" t="n">
        <f aca="false">F510*G510</f>
        <v>7090220</v>
      </c>
    </row>
    <row r="511" customFormat="false" ht="15" hidden="false" customHeight="false" outlineLevel="0" collapsed="false">
      <c r="A511" s="27" t="n">
        <v>2024</v>
      </c>
      <c r="B511" s="27" t="n">
        <v>6</v>
      </c>
      <c r="C511" s="27" t="s">
        <v>38</v>
      </c>
      <c r="D511" s="27" t="s">
        <v>24</v>
      </c>
      <c r="E511" s="27" t="s">
        <v>58</v>
      </c>
      <c r="F511" s="28" t="n">
        <v>1974</v>
      </c>
      <c r="G511" s="29" t="n">
        <v>2430</v>
      </c>
      <c r="H511" s="29" t="n">
        <f aca="false">F511*G511</f>
        <v>4796820</v>
      </c>
    </row>
    <row r="512" customFormat="false" ht="15" hidden="false" customHeight="false" outlineLevel="0" collapsed="false">
      <c r="A512" s="27" t="n">
        <v>2024</v>
      </c>
      <c r="B512" s="27" t="n">
        <v>6</v>
      </c>
      <c r="C512" s="27" t="s">
        <v>38</v>
      </c>
      <c r="D512" s="27" t="s">
        <v>26</v>
      </c>
      <c r="E512" s="27" t="s">
        <v>50</v>
      </c>
      <c r="F512" s="28" t="n">
        <v>2420</v>
      </c>
      <c r="G512" s="29" t="n">
        <v>2920</v>
      </c>
      <c r="H512" s="29" t="n">
        <f aca="false">F512*G512</f>
        <v>7066400</v>
      </c>
    </row>
    <row r="513" customFormat="false" ht="15" hidden="false" customHeight="false" outlineLevel="0" collapsed="false">
      <c r="A513" s="27" t="n">
        <v>2024</v>
      </c>
      <c r="B513" s="27" t="n">
        <v>6</v>
      </c>
      <c r="C513" s="27" t="s">
        <v>38</v>
      </c>
      <c r="D513" s="27" t="s">
        <v>26</v>
      </c>
      <c r="E513" s="27" t="s">
        <v>52</v>
      </c>
      <c r="F513" s="28" t="n">
        <v>1518</v>
      </c>
      <c r="G513" s="29" t="n">
        <v>2930</v>
      </c>
      <c r="H513" s="29" t="n">
        <f aca="false">F513*G513</f>
        <v>4447740</v>
      </c>
    </row>
    <row r="514" customFormat="false" ht="15" hidden="false" customHeight="false" outlineLevel="0" collapsed="false">
      <c r="A514" s="27" t="n">
        <v>2024</v>
      </c>
      <c r="B514" s="27" t="n">
        <v>6</v>
      </c>
      <c r="C514" s="27" t="s">
        <v>38</v>
      </c>
      <c r="D514" s="27" t="s">
        <v>26</v>
      </c>
      <c r="E514" s="27" t="s">
        <v>54</v>
      </c>
      <c r="F514" s="28" t="n">
        <v>1064</v>
      </c>
      <c r="G514" s="29" t="n">
        <v>2900</v>
      </c>
      <c r="H514" s="29" t="n">
        <f aca="false">F514*G514</f>
        <v>3085600</v>
      </c>
    </row>
    <row r="515" customFormat="false" ht="15" hidden="false" customHeight="false" outlineLevel="0" collapsed="false">
      <c r="A515" s="27" t="n">
        <v>2024</v>
      </c>
      <c r="B515" s="27" t="n">
        <v>6</v>
      </c>
      <c r="C515" s="27" t="s">
        <v>38</v>
      </c>
      <c r="D515" s="27" t="s">
        <v>26</v>
      </c>
      <c r="E515" s="27" t="s">
        <v>56</v>
      </c>
      <c r="F515" s="28" t="n">
        <v>1259</v>
      </c>
      <c r="G515" s="29" t="n">
        <v>2910</v>
      </c>
      <c r="H515" s="29" t="n">
        <f aca="false">F515*G515</f>
        <v>3663690</v>
      </c>
    </row>
    <row r="516" customFormat="false" ht="15" hidden="false" customHeight="false" outlineLevel="0" collapsed="false">
      <c r="A516" s="27" t="n">
        <v>2024</v>
      </c>
      <c r="B516" s="27" t="n">
        <v>6</v>
      </c>
      <c r="C516" s="27" t="s">
        <v>38</v>
      </c>
      <c r="D516" s="27" t="s">
        <v>26</v>
      </c>
      <c r="E516" s="27" t="s">
        <v>58</v>
      </c>
      <c r="F516" s="28" t="n">
        <v>966</v>
      </c>
      <c r="G516" s="29" t="n">
        <v>2940</v>
      </c>
      <c r="H516" s="29" t="n">
        <f aca="false">F516*G516</f>
        <v>2840040</v>
      </c>
    </row>
    <row r="517" customFormat="false" ht="15" hidden="false" customHeight="false" outlineLevel="0" collapsed="false">
      <c r="A517" s="27" t="n">
        <v>2024</v>
      </c>
      <c r="B517" s="27" t="n">
        <v>6</v>
      </c>
      <c r="C517" s="27" t="s">
        <v>38</v>
      </c>
      <c r="D517" s="27" t="s">
        <v>28</v>
      </c>
      <c r="E517" s="27" t="s">
        <v>50</v>
      </c>
      <c r="F517" s="28" t="n">
        <v>970</v>
      </c>
      <c r="G517" s="29" t="n">
        <v>2740</v>
      </c>
      <c r="H517" s="29" t="n">
        <f aca="false">F517*G517</f>
        <v>2657800</v>
      </c>
    </row>
    <row r="518" customFormat="false" ht="15" hidden="false" customHeight="false" outlineLevel="0" collapsed="false">
      <c r="A518" s="27" t="n">
        <v>2024</v>
      </c>
      <c r="B518" s="27" t="n">
        <v>6</v>
      </c>
      <c r="C518" s="27" t="s">
        <v>38</v>
      </c>
      <c r="D518" s="27" t="s">
        <v>28</v>
      </c>
      <c r="E518" s="27" t="s">
        <v>52</v>
      </c>
      <c r="F518" s="28" t="n">
        <v>558</v>
      </c>
      <c r="G518" s="29" t="n">
        <v>2740</v>
      </c>
      <c r="H518" s="29" t="n">
        <f aca="false">F518*G518</f>
        <v>1528920</v>
      </c>
    </row>
    <row r="519" customFormat="false" ht="15" hidden="false" customHeight="false" outlineLevel="0" collapsed="false">
      <c r="A519" s="27" t="n">
        <v>2024</v>
      </c>
      <c r="B519" s="27" t="n">
        <v>6</v>
      </c>
      <c r="C519" s="27" t="s">
        <v>38</v>
      </c>
      <c r="D519" s="27" t="s">
        <v>28</v>
      </c>
      <c r="E519" s="27" t="s">
        <v>54</v>
      </c>
      <c r="F519" s="28" t="n">
        <v>446</v>
      </c>
      <c r="G519" s="29" t="n">
        <v>2730</v>
      </c>
      <c r="H519" s="29" t="n">
        <f aca="false">F519*G519</f>
        <v>1217580</v>
      </c>
    </row>
    <row r="520" customFormat="false" ht="15" hidden="false" customHeight="false" outlineLevel="0" collapsed="false">
      <c r="A520" s="27" t="n">
        <v>2024</v>
      </c>
      <c r="B520" s="27" t="n">
        <v>6</v>
      </c>
      <c r="C520" s="27" t="s">
        <v>38</v>
      </c>
      <c r="D520" s="27" t="s">
        <v>28</v>
      </c>
      <c r="E520" s="27" t="s">
        <v>56</v>
      </c>
      <c r="F520" s="28" t="n">
        <v>570</v>
      </c>
      <c r="G520" s="29" t="n">
        <v>2710</v>
      </c>
      <c r="H520" s="29" t="n">
        <f aca="false">F520*G520</f>
        <v>1544700</v>
      </c>
    </row>
    <row r="521" customFormat="false" ht="15" hidden="false" customHeight="false" outlineLevel="0" collapsed="false">
      <c r="A521" s="27" t="n">
        <v>2024</v>
      </c>
      <c r="B521" s="27" t="n">
        <v>6</v>
      </c>
      <c r="C521" s="27" t="s">
        <v>38</v>
      </c>
      <c r="D521" s="27" t="s">
        <v>28</v>
      </c>
      <c r="E521" s="27" t="s">
        <v>58</v>
      </c>
      <c r="F521" s="28" t="n">
        <v>387</v>
      </c>
      <c r="G521" s="29" t="n">
        <v>2750</v>
      </c>
      <c r="H521" s="29" t="n">
        <f aca="false">F521*G521</f>
        <v>1064250</v>
      </c>
    </row>
    <row r="522" customFormat="false" ht="15" hidden="false" customHeight="false" outlineLevel="0" collapsed="false">
      <c r="A522" s="27" t="n">
        <v>2024</v>
      </c>
      <c r="B522" s="27" t="n">
        <v>6</v>
      </c>
      <c r="C522" s="27" t="s">
        <v>40</v>
      </c>
      <c r="D522" s="27" t="s">
        <v>22</v>
      </c>
      <c r="E522" s="27" t="s">
        <v>50</v>
      </c>
      <c r="F522" s="28" t="n">
        <v>5403</v>
      </c>
      <c r="G522" s="29" t="n">
        <v>2320</v>
      </c>
      <c r="H522" s="29" t="n">
        <f aca="false">F522*G522</f>
        <v>12534960</v>
      </c>
    </row>
    <row r="523" customFormat="false" ht="15" hidden="false" customHeight="false" outlineLevel="0" collapsed="false">
      <c r="A523" s="27" t="n">
        <v>2024</v>
      </c>
      <c r="B523" s="27" t="n">
        <v>6</v>
      </c>
      <c r="C523" s="27" t="s">
        <v>40</v>
      </c>
      <c r="D523" s="27" t="s">
        <v>22</v>
      </c>
      <c r="E523" s="27" t="s">
        <v>52</v>
      </c>
      <c r="F523" s="28" t="n">
        <v>3670</v>
      </c>
      <c r="G523" s="29" t="n">
        <v>2300</v>
      </c>
      <c r="H523" s="29" t="n">
        <f aca="false">F523*G523</f>
        <v>8441000</v>
      </c>
    </row>
    <row r="524" customFormat="false" ht="15" hidden="false" customHeight="false" outlineLevel="0" collapsed="false">
      <c r="A524" s="27" t="n">
        <v>2024</v>
      </c>
      <c r="B524" s="27" t="n">
        <v>6</v>
      </c>
      <c r="C524" s="27" t="s">
        <v>40</v>
      </c>
      <c r="D524" s="27" t="s">
        <v>22</v>
      </c>
      <c r="E524" s="27" t="s">
        <v>54</v>
      </c>
      <c r="F524" s="28" t="n">
        <v>2729</v>
      </c>
      <c r="G524" s="29" t="n">
        <v>2280</v>
      </c>
      <c r="H524" s="29" t="n">
        <f aca="false">F524*G524</f>
        <v>6222120</v>
      </c>
    </row>
    <row r="525" customFormat="false" ht="15" hidden="false" customHeight="false" outlineLevel="0" collapsed="false">
      <c r="A525" s="27" t="n">
        <v>2024</v>
      </c>
      <c r="B525" s="27" t="n">
        <v>6</v>
      </c>
      <c r="C525" s="27" t="s">
        <v>40</v>
      </c>
      <c r="D525" s="27" t="s">
        <v>22</v>
      </c>
      <c r="E525" s="27" t="s">
        <v>56</v>
      </c>
      <c r="F525" s="28" t="n">
        <v>3279</v>
      </c>
      <c r="G525" s="29" t="n">
        <v>2310</v>
      </c>
      <c r="H525" s="29" t="n">
        <f aca="false">F525*G525</f>
        <v>7574490</v>
      </c>
    </row>
    <row r="526" customFormat="false" ht="15" hidden="false" customHeight="false" outlineLevel="0" collapsed="false">
      <c r="A526" s="27" t="n">
        <v>2024</v>
      </c>
      <c r="B526" s="27" t="n">
        <v>6</v>
      </c>
      <c r="C526" s="27" t="s">
        <v>40</v>
      </c>
      <c r="D526" s="27" t="s">
        <v>22</v>
      </c>
      <c r="E526" s="27" t="s">
        <v>58</v>
      </c>
      <c r="F526" s="28" t="n">
        <v>2195</v>
      </c>
      <c r="G526" s="29" t="n">
        <v>2310</v>
      </c>
      <c r="H526" s="29" t="n">
        <f aca="false">F526*G526</f>
        <v>5070450</v>
      </c>
    </row>
    <row r="527" customFormat="false" ht="15" hidden="false" customHeight="false" outlineLevel="0" collapsed="false">
      <c r="A527" s="27" t="n">
        <v>2024</v>
      </c>
      <c r="B527" s="27" t="n">
        <v>6</v>
      </c>
      <c r="C527" s="27" t="s">
        <v>40</v>
      </c>
      <c r="D527" s="27" t="s">
        <v>24</v>
      </c>
      <c r="E527" s="27" t="s">
        <v>50</v>
      </c>
      <c r="F527" s="28" t="n">
        <v>2874</v>
      </c>
      <c r="G527" s="29" t="n">
        <v>2130</v>
      </c>
      <c r="H527" s="29" t="n">
        <f aca="false">F527*G527</f>
        <v>6121620</v>
      </c>
    </row>
    <row r="528" customFormat="false" ht="15" hidden="false" customHeight="false" outlineLevel="0" collapsed="false">
      <c r="A528" s="27" t="n">
        <v>2024</v>
      </c>
      <c r="B528" s="27" t="n">
        <v>6</v>
      </c>
      <c r="C528" s="27" t="s">
        <v>40</v>
      </c>
      <c r="D528" s="27" t="s">
        <v>24</v>
      </c>
      <c r="E528" s="27" t="s">
        <v>52</v>
      </c>
      <c r="F528" s="28" t="n">
        <v>1926</v>
      </c>
      <c r="G528" s="29" t="n">
        <v>2190</v>
      </c>
      <c r="H528" s="29" t="n">
        <f aca="false">F528*G528</f>
        <v>4217940</v>
      </c>
    </row>
    <row r="529" customFormat="false" ht="15" hidden="false" customHeight="false" outlineLevel="0" collapsed="false">
      <c r="A529" s="27" t="n">
        <v>2024</v>
      </c>
      <c r="B529" s="27" t="n">
        <v>6</v>
      </c>
      <c r="C529" s="27" t="s">
        <v>40</v>
      </c>
      <c r="D529" s="27" t="s">
        <v>24</v>
      </c>
      <c r="E529" s="27" t="s">
        <v>54</v>
      </c>
      <c r="F529" s="28" t="n">
        <v>1427</v>
      </c>
      <c r="G529" s="29" t="n">
        <v>2170</v>
      </c>
      <c r="H529" s="29" t="n">
        <f aca="false">F529*G529</f>
        <v>3096590</v>
      </c>
    </row>
    <row r="530" customFormat="false" ht="15" hidden="false" customHeight="false" outlineLevel="0" collapsed="false">
      <c r="A530" s="27" t="n">
        <v>2024</v>
      </c>
      <c r="B530" s="27" t="n">
        <v>6</v>
      </c>
      <c r="C530" s="27" t="s">
        <v>40</v>
      </c>
      <c r="D530" s="27" t="s">
        <v>24</v>
      </c>
      <c r="E530" s="27" t="s">
        <v>56</v>
      </c>
      <c r="F530" s="28" t="n">
        <v>1833</v>
      </c>
      <c r="G530" s="29" t="n">
        <v>2150</v>
      </c>
      <c r="H530" s="29" t="n">
        <f aca="false">F530*G530</f>
        <v>3940950</v>
      </c>
    </row>
    <row r="531" customFormat="false" ht="15" hidden="false" customHeight="false" outlineLevel="0" collapsed="false">
      <c r="A531" s="27" t="n">
        <v>2024</v>
      </c>
      <c r="B531" s="27" t="n">
        <v>6</v>
      </c>
      <c r="C531" s="27" t="s">
        <v>40</v>
      </c>
      <c r="D531" s="27" t="s">
        <v>24</v>
      </c>
      <c r="E531" s="27" t="s">
        <v>58</v>
      </c>
      <c r="F531" s="28" t="n">
        <v>1252</v>
      </c>
      <c r="G531" s="29" t="n">
        <v>2150</v>
      </c>
      <c r="H531" s="29" t="n">
        <f aca="false">F531*G531</f>
        <v>2691800</v>
      </c>
    </row>
    <row r="532" customFormat="false" ht="15" hidden="false" customHeight="false" outlineLevel="0" collapsed="false">
      <c r="A532" s="27" t="n">
        <v>2024</v>
      </c>
      <c r="B532" s="27" t="n">
        <v>6</v>
      </c>
      <c r="C532" s="27" t="s">
        <v>40</v>
      </c>
      <c r="D532" s="27" t="s">
        <v>26</v>
      </c>
      <c r="E532" s="27" t="s">
        <v>50</v>
      </c>
      <c r="F532" s="28" t="n">
        <v>1464</v>
      </c>
      <c r="G532" s="29" t="n">
        <v>2610</v>
      </c>
      <c r="H532" s="29" t="n">
        <f aca="false">F532*G532</f>
        <v>3821040</v>
      </c>
    </row>
    <row r="533" customFormat="false" ht="15" hidden="false" customHeight="false" outlineLevel="0" collapsed="false">
      <c r="A533" s="27" t="n">
        <v>2024</v>
      </c>
      <c r="B533" s="27" t="n">
        <v>6</v>
      </c>
      <c r="C533" s="27" t="s">
        <v>40</v>
      </c>
      <c r="D533" s="27" t="s">
        <v>26</v>
      </c>
      <c r="E533" s="27" t="s">
        <v>52</v>
      </c>
      <c r="F533" s="28" t="n">
        <v>901</v>
      </c>
      <c r="G533" s="29" t="n">
        <v>2610</v>
      </c>
      <c r="H533" s="29" t="n">
        <f aca="false">F533*G533</f>
        <v>2351610</v>
      </c>
    </row>
    <row r="534" customFormat="false" ht="15" hidden="false" customHeight="false" outlineLevel="0" collapsed="false">
      <c r="A534" s="27" t="n">
        <v>2024</v>
      </c>
      <c r="B534" s="27" t="n">
        <v>6</v>
      </c>
      <c r="C534" s="27" t="s">
        <v>40</v>
      </c>
      <c r="D534" s="27" t="s">
        <v>26</v>
      </c>
      <c r="E534" s="27" t="s">
        <v>54</v>
      </c>
      <c r="F534" s="28" t="n">
        <v>714</v>
      </c>
      <c r="G534" s="29" t="n">
        <v>2570</v>
      </c>
      <c r="H534" s="29" t="n">
        <f aca="false">F534*G534</f>
        <v>1834980</v>
      </c>
    </row>
    <row r="535" customFormat="false" ht="15" hidden="false" customHeight="false" outlineLevel="0" collapsed="false">
      <c r="A535" s="27" t="n">
        <v>2024</v>
      </c>
      <c r="B535" s="27" t="n">
        <v>6</v>
      </c>
      <c r="C535" s="27" t="s">
        <v>40</v>
      </c>
      <c r="D535" s="27" t="s">
        <v>26</v>
      </c>
      <c r="E535" s="27" t="s">
        <v>56</v>
      </c>
      <c r="F535" s="28" t="n">
        <v>829</v>
      </c>
      <c r="G535" s="29" t="n">
        <v>2590</v>
      </c>
      <c r="H535" s="29" t="n">
        <f aca="false">F535*G535</f>
        <v>2147110</v>
      </c>
    </row>
    <row r="536" customFormat="false" ht="15" hidden="false" customHeight="false" outlineLevel="0" collapsed="false">
      <c r="A536" s="27" t="n">
        <v>2024</v>
      </c>
      <c r="B536" s="27" t="n">
        <v>6</v>
      </c>
      <c r="C536" s="27" t="s">
        <v>40</v>
      </c>
      <c r="D536" s="27" t="s">
        <v>26</v>
      </c>
      <c r="E536" s="27" t="s">
        <v>58</v>
      </c>
      <c r="F536" s="28" t="n">
        <v>643</v>
      </c>
      <c r="G536" s="29" t="n">
        <v>2570</v>
      </c>
      <c r="H536" s="29" t="n">
        <f aca="false">F536*G536</f>
        <v>1652510</v>
      </c>
    </row>
    <row r="537" customFormat="false" ht="15" hidden="false" customHeight="false" outlineLevel="0" collapsed="false">
      <c r="A537" s="27" t="n">
        <v>2024</v>
      </c>
      <c r="B537" s="27" t="n">
        <v>6</v>
      </c>
      <c r="C537" s="27" t="s">
        <v>40</v>
      </c>
      <c r="D537" s="27" t="s">
        <v>28</v>
      </c>
      <c r="E537" s="27" t="s">
        <v>50</v>
      </c>
      <c r="F537" s="28" t="n">
        <v>562</v>
      </c>
      <c r="G537" s="29" t="n">
        <v>2390</v>
      </c>
      <c r="H537" s="29" t="n">
        <f aca="false">F537*G537</f>
        <v>1343180</v>
      </c>
    </row>
    <row r="538" customFormat="false" ht="15" hidden="false" customHeight="false" outlineLevel="0" collapsed="false">
      <c r="A538" s="27" t="n">
        <v>2024</v>
      </c>
      <c r="B538" s="27" t="n">
        <v>6</v>
      </c>
      <c r="C538" s="27" t="s">
        <v>40</v>
      </c>
      <c r="D538" s="27" t="s">
        <v>28</v>
      </c>
      <c r="E538" s="27" t="s">
        <v>52</v>
      </c>
      <c r="F538" s="28" t="n">
        <v>351</v>
      </c>
      <c r="G538" s="29" t="n">
        <v>2380</v>
      </c>
      <c r="H538" s="29" t="n">
        <f aca="false">F538*G538</f>
        <v>835380</v>
      </c>
    </row>
    <row r="539" customFormat="false" ht="15" hidden="false" customHeight="false" outlineLevel="0" collapsed="false">
      <c r="A539" s="27" t="n">
        <v>2024</v>
      </c>
      <c r="B539" s="27" t="n">
        <v>6</v>
      </c>
      <c r="C539" s="27" t="s">
        <v>40</v>
      </c>
      <c r="D539" s="27" t="s">
        <v>28</v>
      </c>
      <c r="E539" s="27" t="s">
        <v>54</v>
      </c>
      <c r="F539" s="28" t="n">
        <v>271</v>
      </c>
      <c r="G539" s="29" t="n">
        <v>2420</v>
      </c>
      <c r="H539" s="29" t="n">
        <f aca="false">F539*G539</f>
        <v>655820</v>
      </c>
    </row>
    <row r="540" customFormat="false" ht="15" hidden="false" customHeight="false" outlineLevel="0" collapsed="false">
      <c r="A540" s="27" t="n">
        <v>2024</v>
      </c>
      <c r="B540" s="27" t="n">
        <v>6</v>
      </c>
      <c r="C540" s="27" t="s">
        <v>40</v>
      </c>
      <c r="D540" s="27" t="s">
        <v>28</v>
      </c>
      <c r="E540" s="27" t="s">
        <v>56</v>
      </c>
      <c r="F540" s="28" t="n">
        <v>359</v>
      </c>
      <c r="G540" s="29" t="n">
        <v>2480</v>
      </c>
      <c r="H540" s="29" t="n">
        <f aca="false">F540*G540</f>
        <v>890320</v>
      </c>
    </row>
    <row r="541" customFormat="false" ht="15" hidden="false" customHeight="false" outlineLevel="0" collapsed="false">
      <c r="A541" s="27" t="n">
        <v>2024</v>
      </c>
      <c r="B541" s="27" t="n">
        <v>6</v>
      </c>
      <c r="C541" s="27" t="s">
        <v>40</v>
      </c>
      <c r="D541" s="27" t="s">
        <v>28</v>
      </c>
      <c r="E541" s="27" t="s">
        <v>58</v>
      </c>
      <c r="F541" s="28" t="n">
        <v>224</v>
      </c>
      <c r="G541" s="29" t="n">
        <v>2450</v>
      </c>
      <c r="H541" s="29" t="n">
        <f aca="false">F541*G541</f>
        <v>548800</v>
      </c>
    </row>
    <row r="542" customFormat="false" ht="15" hidden="false" customHeight="false" outlineLevel="0" collapsed="false">
      <c r="A542" s="27" t="n">
        <v>2024</v>
      </c>
      <c r="B542" s="27" t="n">
        <v>6</v>
      </c>
      <c r="C542" s="27" t="s">
        <v>42</v>
      </c>
      <c r="D542" s="27" t="s">
        <v>22</v>
      </c>
      <c r="E542" s="27" t="s">
        <v>50</v>
      </c>
      <c r="F542" s="28" t="n">
        <v>5095</v>
      </c>
      <c r="G542" s="29" t="n">
        <v>2100</v>
      </c>
      <c r="H542" s="29" t="n">
        <f aca="false">F542*G542</f>
        <v>10699500</v>
      </c>
    </row>
    <row r="543" customFormat="false" ht="15" hidden="false" customHeight="false" outlineLevel="0" collapsed="false">
      <c r="A543" s="27" t="n">
        <v>2024</v>
      </c>
      <c r="B543" s="27" t="n">
        <v>6</v>
      </c>
      <c r="C543" s="27" t="s">
        <v>42</v>
      </c>
      <c r="D543" s="27" t="s">
        <v>22</v>
      </c>
      <c r="E543" s="27" t="s">
        <v>52</v>
      </c>
      <c r="F543" s="28" t="n">
        <v>3214</v>
      </c>
      <c r="G543" s="29" t="n">
        <v>2100</v>
      </c>
      <c r="H543" s="29" t="n">
        <f aca="false">F543*G543</f>
        <v>6749400</v>
      </c>
    </row>
    <row r="544" customFormat="false" ht="15" hidden="false" customHeight="false" outlineLevel="0" collapsed="false">
      <c r="A544" s="27" t="n">
        <v>2024</v>
      </c>
      <c r="B544" s="27" t="n">
        <v>6</v>
      </c>
      <c r="C544" s="27" t="s">
        <v>42</v>
      </c>
      <c r="D544" s="27" t="s">
        <v>22</v>
      </c>
      <c r="E544" s="27" t="s">
        <v>54</v>
      </c>
      <c r="F544" s="28" t="n">
        <v>2531</v>
      </c>
      <c r="G544" s="29" t="n">
        <v>2090</v>
      </c>
      <c r="H544" s="29" t="n">
        <f aca="false">F544*G544</f>
        <v>5289790</v>
      </c>
    </row>
    <row r="545" customFormat="false" ht="15" hidden="false" customHeight="false" outlineLevel="0" collapsed="false">
      <c r="A545" s="27" t="n">
        <v>2024</v>
      </c>
      <c r="B545" s="27" t="n">
        <v>6</v>
      </c>
      <c r="C545" s="27" t="s">
        <v>42</v>
      </c>
      <c r="D545" s="27" t="s">
        <v>22</v>
      </c>
      <c r="E545" s="27" t="s">
        <v>56</v>
      </c>
      <c r="F545" s="28" t="n">
        <v>2780</v>
      </c>
      <c r="G545" s="29" t="n">
        <v>2070</v>
      </c>
      <c r="H545" s="29" t="n">
        <f aca="false">F545*G545</f>
        <v>5754600</v>
      </c>
    </row>
    <row r="546" customFormat="false" ht="15" hidden="false" customHeight="false" outlineLevel="0" collapsed="false">
      <c r="A546" s="27" t="n">
        <v>2024</v>
      </c>
      <c r="B546" s="27" t="n">
        <v>6</v>
      </c>
      <c r="C546" s="27" t="s">
        <v>42</v>
      </c>
      <c r="D546" s="27" t="s">
        <v>22</v>
      </c>
      <c r="E546" s="27" t="s">
        <v>58</v>
      </c>
      <c r="F546" s="28" t="n">
        <v>2112</v>
      </c>
      <c r="G546" s="29" t="n">
        <v>2090</v>
      </c>
      <c r="H546" s="29" t="n">
        <f aca="false">F546*G546</f>
        <v>4414080</v>
      </c>
    </row>
    <row r="547" customFormat="false" ht="15" hidden="false" customHeight="false" outlineLevel="0" collapsed="false">
      <c r="A547" s="27" t="n">
        <v>2024</v>
      </c>
      <c r="B547" s="27" t="n">
        <v>6</v>
      </c>
      <c r="C547" s="27" t="s">
        <v>42</v>
      </c>
      <c r="D547" s="27" t="s">
        <v>24</v>
      </c>
      <c r="E547" s="27" t="s">
        <v>50</v>
      </c>
      <c r="F547" s="28" t="n">
        <v>2637</v>
      </c>
      <c r="G547" s="29" t="n">
        <v>1950</v>
      </c>
      <c r="H547" s="29" t="n">
        <f aca="false">F547*G547</f>
        <v>5142150</v>
      </c>
    </row>
    <row r="548" customFormat="false" ht="15" hidden="false" customHeight="false" outlineLevel="0" collapsed="false">
      <c r="A548" s="27" t="n">
        <v>2024</v>
      </c>
      <c r="B548" s="27" t="n">
        <v>6</v>
      </c>
      <c r="C548" s="27" t="s">
        <v>42</v>
      </c>
      <c r="D548" s="27" t="s">
        <v>24</v>
      </c>
      <c r="E548" s="27" t="s">
        <v>52</v>
      </c>
      <c r="F548" s="28" t="n">
        <v>1766</v>
      </c>
      <c r="G548" s="29" t="n">
        <v>1960</v>
      </c>
      <c r="H548" s="29" t="n">
        <f aca="false">F548*G548</f>
        <v>3461360</v>
      </c>
    </row>
    <row r="549" customFormat="false" ht="15" hidden="false" customHeight="false" outlineLevel="0" collapsed="false">
      <c r="A549" s="27" t="n">
        <v>2024</v>
      </c>
      <c r="B549" s="27" t="n">
        <v>6</v>
      </c>
      <c r="C549" s="27" t="s">
        <v>42</v>
      </c>
      <c r="D549" s="27" t="s">
        <v>24</v>
      </c>
      <c r="E549" s="27" t="s">
        <v>54</v>
      </c>
      <c r="F549" s="28" t="n">
        <v>1314</v>
      </c>
      <c r="G549" s="29" t="n">
        <v>1980</v>
      </c>
      <c r="H549" s="29" t="n">
        <f aca="false">F549*G549</f>
        <v>2601720</v>
      </c>
    </row>
    <row r="550" customFormat="false" ht="15" hidden="false" customHeight="false" outlineLevel="0" collapsed="false">
      <c r="A550" s="27" t="n">
        <v>2024</v>
      </c>
      <c r="B550" s="27" t="n">
        <v>6</v>
      </c>
      <c r="C550" s="27" t="s">
        <v>42</v>
      </c>
      <c r="D550" s="27" t="s">
        <v>24</v>
      </c>
      <c r="E550" s="27" t="s">
        <v>56</v>
      </c>
      <c r="F550" s="28" t="n">
        <v>1741</v>
      </c>
      <c r="G550" s="29" t="n">
        <v>1960</v>
      </c>
      <c r="H550" s="29" t="n">
        <f aca="false">F550*G550</f>
        <v>3412360</v>
      </c>
    </row>
    <row r="551" customFormat="false" ht="15" hidden="false" customHeight="false" outlineLevel="0" collapsed="false">
      <c r="A551" s="27" t="n">
        <v>2024</v>
      </c>
      <c r="B551" s="27" t="n">
        <v>6</v>
      </c>
      <c r="C551" s="27" t="s">
        <v>42</v>
      </c>
      <c r="D551" s="27" t="s">
        <v>24</v>
      </c>
      <c r="E551" s="27" t="s">
        <v>58</v>
      </c>
      <c r="F551" s="28" t="n">
        <v>1158</v>
      </c>
      <c r="G551" s="29" t="n">
        <v>1980</v>
      </c>
      <c r="H551" s="29" t="n">
        <f aca="false">F551*G551</f>
        <v>2292840</v>
      </c>
    </row>
    <row r="552" customFormat="false" ht="15" hidden="false" customHeight="false" outlineLevel="0" collapsed="false">
      <c r="A552" s="27" t="n">
        <v>2024</v>
      </c>
      <c r="B552" s="27" t="n">
        <v>6</v>
      </c>
      <c r="C552" s="27" t="s">
        <v>42</v>
      </c>
      <c r="D552" s="27" t="s">
        <v>26</v>
      </c>
      <c r="E552" s="27" t="s">
        <v>50</v>
      </c>
      <c r="F552" s="28" t="n">
        <v>1383</v>
      </c>
      <c r="G552" s="29" t="n">
        <v>2370</v>
      </c>
      <c r="H552" s="29" t="n">
        <f aca="false">F552*G552</f>
        <v>3277710</v>
      </c>
    </row>
    <row r="553" customFormat="false" ht="15" hidden="false" customHeight="false" outlineLevel="0" collapsed="false">
      <c r="A553" s="27" t="n">
        <v>2024</v>
      </c>
      <c r="B553" s="27" t="n">
        <v>6</v>
      </c>
      <c r="C553" s="27" t="s">
        <v>42</v>
      </c>
      <c r="D553" s="27" t="s">
        <v>26</v>
      </c>
      <c r="E553" s="27" t="s">
        <v>52</v>
      </c>
      <c r="F553" s="28" t="n">
        <v>842</v>
      </c>
      <c r="G553" s="29" t="n">
        <v>2360</v>
      </c>
      <c r="H553" s="29" t="n">
        <f aca="false">F553*G553</f>
        <v>1987120</v>
      </c>
    </row>
    <row r="554" customFormat="false" ht="15" hidden="false" customHeight="false" outlineLevel="0" collapsed="false">
      <c r="A554" s="27" t="n">
        <v>2024</v>
      </c>
      <c r="B554" s="27" t="n">
        <v>6</v>
      </c>
      <c r="C554" s="27" t="s">
        <v>42</v>
      </c>
      <c r="D554" s="27" t="s">
        <v>26</v>
      </c>
      <c r="E554" s="27" t="s">
        <v>54</v>
      </c>
      <c r="F554" s="28" t="n">
        <v>618</v>
      </c>
      <c r="G554" s="29" t="n">
        <v>2370</v>
      </c>
      <c r="H554" s="29" t="n">
        <f aca="false">F554*G554</f>
        <v>1464660</v>
      </c>
    </row>
    <row r="555" customFormat="false" ht="15" hidden="false" customHeight="false" outlineLevel="0" collapsed="false">
      <c r="A555" s="27" t="n">
        <v>2024</v>
      </c>
      <c r="B555" s="27" t="n">
        <v>6</v>
      </c>
      <c r="C555" s="27" t="s">
        <v>42</v>
      </c>
      <c r="D555" s="27" t="s">
        <v>26</v>
      </c>
      <c r="E555" s="27" t="s">
        <v>56</v>
      </c>
      <c r="F555" s="28" t="n">
        <v>724</v>
      </c>
      <c r="G555" s="29" t="n">
        <v>2330</v>
      </c>
      <c r="H555" s="29" t="n">
        <f aca="false">F555*G555</f>
        <v>1686920</v>
      </c>
    </row>
    <row r="556" customFormat="false" ht="15" hidden="false" customHeight="false" outlineLevel="0" collapsed="false">
      <c r="A556" s="27" t="n">
        <v>2024</v>
      </c>
      <c r="B556" s="27" t="n">
        <v>6</v>
      </c>
      <c r="C556" s="27" t="s">
        <v>42</v>
      </c>
      <c r="D556" s="27" t="s">
        <v>26</v>
      </c>
      <c r="E556" s="27" t="s">
        <v>58</v>
      </c>
      <c r="F556" s="28" t="n">
        <v>566</v>
      </c>
      <c r="G556" s="29" t="n">
        <v>2370</v>
      </c>
      <c r="H556" s="29" t="n">
        <f aca="false">F556*G556</f>
        <v>1341420</v>
      </c>
    </row>
    <row r="557" customFormat="false" ht="15" hidden="false" customHeight="false" outlineLevel="0" collapsed="false">
      <c r="A557" s="27" t="n">
        <v>2024</v>
      </c>
      <c r="B557" s="27" t="n">
        <v>6</v>
      </c>
      <c r="C557" s="27" t="s">
        <v>42</v>
      </c>
      <c r="D557" s="27" t="s">
        <v>28</v>
      </c>
      <c r="E557" s="27" t="s">
        <v>50</v>
      </c>
      <c r="F557" s="28" t="n">
        <v>541</v>
      </c>
      <c r="G557" s="29" t="n">
        <v>2200</v>
      </c>
      <c r="H557" s="29" t="n">
        <f aca="false">F557*G557</f>
        <v>1190200</v>
      </c>
    </row>
    <row r="558" customFormat="false" ht="15" hidden="false" customHeight="false" outlineLevel="0" collapsed="false">
      <c r="A558" s="27" t="n">
        <v>2024</v>
      </c>
      <c r="B558" s="27" t="n">
        <v>6</v>
      </c>
      <c r="C558" s="27" t="s">
        <v>42</v>
      </c>
      <c r="D558" s="27" t="s">
        <v>28</v>
      </c>
      <c r="E558" s="27" t="s">
        <v>52</v>
      </c>
      <c r="F558" s="28" t="n">
        <v>296</v>
      </c>
      <c r="G558" s="29" t="n">
        <v>2200</v>
      </c>
      <c r="H558" s="29" t="n">
        <f aca="false">F558*G558</f>
        <v>651200</v>
      </c>
    </row>
    <row r="559" customFormat="false" ht="15" hidden="false" customHeight="false" outlineLevel="0" collapsed="false">
      <c r="A559" s="27" t="n">
        <v>2024</v>
      </c>
      <c r="B559" s="27" t="n">
        <v>6</v>
      </c>
      <c r="C559" s="27" t="s">
        <v>42</v>
      </c>
      <c r="D559" s="27" t="s">
        <v>28</v>
      </c>
      <c r="E559" s="27" t="s">
        <v>54</v>
      </c>
      <c r="F559" s="28" t="n">
        <v>253</v>
      </c>
      <c r="G559" s="29" t="n">
        <v>2210</v>
      </c>
      <c r="H559" s="29" t="n">
        <f aca="false">F559*G559</f>
        <v>559130</v>
      </c>
    </row>
    <row r="560" customFormat="false" ht="15" hidden="false" customHeight="false" outlineLevel="0" collapsed="false">
      <c r="A560" s="27" t="n">
        <v>2024</v>
      </c>
      <c r="B560" s="27" t="n">
        <v>6</v>
      </c>
      <c r="C560" s="27" t="s">
        <v>42</v>
      </c>
      <c r="D560" s="27" t="s">
        <v>28</v>
      </c>
      <c r="E560" s="27" t="s">
        <v>56</v>
      </c>
      <c r="F560" s="28" t="n">
        <v>316</v>
      </c>
      <c r="G560" s="29" t="n">
        <v>2200</v>
      </c>
      <c r="H560" s="29" t="n">
        <f aca="false">F560*G560</f>
        <v>695200</v>
      </c>
    </row>
    <row r="561" customFormat="false" ht="15" hidden="false" customHeight="false" outlineLevel="0" collapsed="false">
      <c r="A561" s="27" t="n">
        <v>2024</v>
      </c>
      <c r="B561" s="27" t="n">
        <v>6</v>
      </c>
      <c r="C561" s="27" t="s">
        <v>42</v>
      </c>
      <c r="D561" s="27" t="s">
        <v>28</v>
      </c>
      <c r="E561" s="27" t="s">
        <v>58</v>
      </c>
      <c r="F561" s="28" t="n">
        <v>208</v>
      </c>
      <c r="G561" s="29" t="n">
        <v>2180</v>
      </c>
      <c r="H561" s="29" t="n">
        <f aca="false">F561*G561</f>
        <v>453440</v>
      </c>
    </row>
    <row r="562" customFormat="false" ht="15" hidden="false" customHeight="false" outlineLevel="0" collapsed="false">
      <c r="A562" s="27" t="n">
        <v>2024</v>
      </c>
      <c r="B562" s="27" t="n">
        <v>6</v>
      </c>
      <c r="C562" s="27" t="s">
        <v>44</v>
      </c>
      <c r="D562" s="27" t="s">
        <v>22</v>
      </c>
      <c r="E562" s="27" t="s">
        <v>50</v>
      </c>
      <c r="F562" s="28" t="n">
        <v>2807</v>
      </c>
      <c r="G562" s="29" t="n">
        <v>3900</v>
      </c>
      <c r="H562" s="29" t="n">
        <f aca="false">F562*G562</f>
        <v>10947300</v>
      </c>
    </row>
    <row r="563" customFormat="false" ht="15" hidden="false" customHeight="false" outlineLevel="0" collapsed="false">
      <c r="A563" s="27" t="n">
        <v>2024</v>
      </c>
      <c r="B563" s="27" t="n">
        <v>6</v>
      </c>
      <c r="C563" s="27" t="s">
        <v>44</v>
      </c>
      <c r="D563" s="27" t="s">
        <v>22</v>
      </c>
      <c r="E563" s="27" t="s">
        <v>52</v>
      </c>
      <c r="F563" s="28" t="n">
        <v>1652</v>
      </c>
      <c r="G563" s="29" t="n">
        <v>3890</v>
      </c>
      <c r="H563" s="29" t="n">
        <f aca="false">F563*G563</f>
        <v>6426280</v>
      </c>
    </row>
    <row r="564" customFormat="false" ht="15" hidden="false" customHeight="false" outlineLevel="0" collapsed="false">
      <c r="A564" s="27" t="n">
        <v>2024</v>
      </c>
      <c r="B564" s="27" t="n">
        <v>6</v>
      </c>
      <c r="C564" s="27" t="s">
        <v>44</v>
      </c>
      <c r="D564" s="27" t="s">
        <v>22</v>
      </c>
      <c r="E564" s="27" t="s">
        <v>54</v>
      </c>
      <c r="F564" s="28" t="n">
        <v>1360</v>
      </c>
      <c r="G564" s="29" t="n">
        <v>3890</v>
      </c>
      <c r="H564" s="29" t="n">
        <f aca="false">F564*G564</f>
        <v>5290400</v>
      </c>
    </row>
    <row r="565" customFormat="false" ht="15" hidden="false" customHeight="false" outlineLevel="0" collapsed="false">
      <c r="A565" s="27" t="n">
        <v>2024</v>
      </c>
      <c r="B565" s="27" t="n">
        <v>6</v>
      </c>
      <c r="C565" s="27" t="s">
        <v>44</v>
      </c>
      <c r="D565" s="27" t="s">
        <v>22</v>
      </c>
      <c r="E565" s="27" t="s">
        <v>56</v>
      </c>
      <c r="F565" s="28" t="n">
        <v>1775</v>
      </c>
      <c r="G565" s="29" t="n">
        <v>3900</v>
      </c>
      <c r="H565" s="29" t="n">
        <f aca="false">F565*G565</f>
        <v>6922500</v>
      </c>
    </row>
    <row r="566" customFormat="false" ht="15" hidden="false" customHeight="false" outlineLevel="0" collapsed="false">
      <c r="A566" s="27" t="n">
        <v>2024</v>
      </c>
      <c r="B566" s="27" t="n">
        <v>6</v>
      </c>
      <c r="C566" s="27" t="s">
        <v>44</v>
      </c>
      <c r="D566" s="27" t="s">
        <v>22</v>
      </c>
      <c r="E566" s="27" t="s">
        <v>58</v>
      </c>
      <c r="F566" s="28" t="n">
        <v>1102</v>
      </c>
      <c r="G566" s="29" t="n">
        <v>3820</v>
      </c>
      <c r="H566" s="29" t="n">
        <f aca="false">F566*G566</f>
        <v>4209640</v>
      </c>
    </row>
    <row r="567" customFormat="false" ht="15" hidden="false" customHeight="false" outlineLevel="0" collapsed="false">
      <c r="A567" s="27" t="n">
        <v>2024</v>
      </c>
      <c r="B567" s="27" t="n">
        <v>6</v>
      </c>
      <c r="C567" s="27" t="s">
        <v>44</v>
      </c>
      <c r="D567" s="27" t="s">
        <v>24</v>
      </c>
      <c r="E567" s="27" t="s">
        <v>50</v>
      </c>
      <c r="F567" s="28" t="n">
        <v>1416</v>
      </c>
      <c r="G567" s="29" t="n">
        <v>3620</v>
      </c>
      <c r="H567" s="29" t="n">
        <f aca="false">F567*G567</f>
        <v>5125920</v>
      </c>
    </row>
    <row r="568" customFormat="false" ht="15" hidden="false" customHeight="false" outlineLevel="0" collapsed="false">
      <c r="A568" s="27" t="n">
        <v>2024</v>
      </c>
      <c r="B568" s="27" t="n">
        <v>6</v>
      </c>
      <c r="C568" s="27" t="s">
        <v>44</v>
      </c>
      <c r="D568" s="27" t="s">
        <v>24</v>
      </c>
      <c r="E568" s="27" t="s">
        <v>52</v>
      </c>
      <c r="F568" s="28" t="n">
        <v>895</v>
      </c>
      <c r="G568" s="29" t="n">
        <v>3680</v>
      </c>
      <c r="H568" s="29" t="n">
        <f aca="false">F568*G568</f>
        <v>3293600</v>
      </c>
    </row>
    <row r="569" customFormat="false" ht="15" hidden="false" customHeight="false" outlineLevel="0" collapsed="false">
      <c r="A569" s="27" t="n">
        <v>2024</v>
      </c>
      <c r="B569" s="27" t="n">
        <v>6</v>
      </c>
      <c r="C569" s="27" t="s">
        <v>44</v>
      </c>
      <c r="D569" s="27" t="s">
        <v>24</v>
      </c>
      <c r="E569" s="27" t="s">
        <v>54</v>
      </c>
      <c r="F569" s="28" t="n">
        <v>735</v>
      </c>
      <c r="G569" s="29" t="n">
        <v>3670</v>
      </c>
      <c r="H569" s="29" t="n">
        <f aca="false">F569*G569</f>
        <v>2697450</v>
      </c>
    </row>
    <row r="570" customFormat="false" ht="15" hidden="false" customHeight="false" outlineLevel="0" collapsed="false">
      <c r="A570" s="27" t="n">
        <v>2024</v>
      </c>
      <c r="B570" s="27" t="n">
        <v>6</v>
      </c>
      <c r="C570" s="27" t="s">
        <v>44</v>
      </c>
      <c r="D570" s="27" t="s">
        <v>24</v>
      </c>
      <c r="E570" s="27" t="s">
        <v>56</v>
      </c>
      <c r="F570" s="28" t="n">
        <v>883</v>
      </c>
      <c r="G570" s="29" t="n">
        <v>3630</v>
      </c>
      <c r="H570" s="29" t="n">
        <f aca="false">F570*G570</f>
        <v>3205290</v>
      </c>
    </row>
    <row r="571" customFormat="false" ht="15" hidden="false" customHeight="false" outlineLevel="0" collapsed="false">
      <c r="A571" s="27" t="n">
        <v>2024</v>
      </c>
      <c r="B571" s="27" t="n">
        <v>6</v>
      </c>
      <c r="C571" s="27" t="s">
        <v>44</v>
      </c>
      <c r="D571" s="27" t="s">
        <v>24</v>
      </c>
      <c r="E571" s="27" t="s">
        <v>58</v>
      </c>
      <c r="F571" s="28" t="n">
        <v>600</v>
      </c>
      <c r="G571" s="29" t="n">
        <v>3630</v>
      </c>
      <c r="H571" s="29" t="n">
        <f aca="false">F571*G571</f>
        <v>2178000</v>
      </c>
    </row>
    <row r="572" customFormat="false" ht="15" hidden="false" customHeight="false" outlineLevel="0" collapsed="false">
      <c r="A572" s="27" t="n">
        <v>2024</v>
      </c>
      <c r="B572" s="27" t="n">
        <v>6</v>
      </c>
      <c r="C572" s="27" t="s">
        <v>44</v>
      </c>
      <c r="D572" s="27" t="s">
        <v>26</v>
      </c>
      <c r="E572" s="27" t="s">
        <v>50</v>
      </c>
      <c r="F572" s="28" t="n">
        <v>775</v>
      </c>
      <c r="G572" s="29" t="n">
        <v>4270</v>
      </c>
      <c r="H572" s="29" t="n">
        <f aca="false">F572*G572</f>
        <v>3309250</v>
      </c>
    </row>
    <row r="573" customFormat="false" ht="15" hidden="false" customHeight="false" outlineLevel="0" collapsed="false">
      <c r="A573" s="27" t="n">
        <v>2024</v>
      </c>
      <c r="B573" s="27" t="n">
        <v>6</v>
      </c>
      <c r="C573" s="27" t="s">
        <v>44</v>
      </c>
      <c r="D573" s="27" t="s">
        <v>26</v>
      </c>
      <c r="E573" s="27" t="s">
        <v>52</v>
      </c>
      <c r="F573" s="28" t="n">
        <v>402</v>
      </c>
      <c r="G573" s="29" t="n">
        <v>4340</v>
      </c>
      <c r="H573" s="29" t="n">
        <f aca="false">F573*G573</f>
        <v>1744680</v>
      </c>
    </row>
    <row r="574" customFormat="false" ht="15" hidden="false" customHeight="false" outlineLevel="0" collapsed="false">
      <c r="A574" s="27" t="n">
        <v>2024</v>
      </c>
      <c r="B574" s="27" t="n">
        <v>6</v>
      </c>
      <c r="C574" s="27" t="s">
        <v>44</v>
      </c>
      <c r="D574" s="27" t="s">
        <v>26</v>
      </c>
      <c r="E574" s="27" t="s">
        <v>54</v>
      </c>
      <c r="F574" s="28" t="n">
        <v>357</v>
      </c>
      <c r="G574" s="29" t="n">
        <v>4400</v>
      </c>
      <c r="H574" s="29" t="n">
        <f aca="false">F574*G574</f>
        <v>1570800</v>
      </c>
    </row>
    <row r="575" customFormat="false" ht="15" hidden="false" customHeight="false" outlineLevel="0" collapsed="false">
      <c r="A575" s="27" t="n">
        <v>2024</v>
      </c>
      <c r="B575" s="27" t="n">
        <v>6</v>
      </c>
      <c r="C575" s="27" t="s">
        <v>44</v>
      </c>
      <c r="D575" s="27" t="s">
        <v>26</v>
      </c>
      <c r="E575" s="27" t="s">
        <v>56</v>
      </c>
      <c r="F575" s="28" t="n">
        <v>434</v>
      </c>
      <c r="G575" s="29" t="n">
        <v>4350</v>
      </c>
      <c r="H575" s="29" t="n">
        <f aca="false">F575*G575</f>
        <v>1887900</v>
      </c>
    </row>
    <row r="576" customFormat="false" ht="15" hidden="false" customHeight="false" outlineLevel="0" collapsed="false">
      <c r="A576" s="27" t="n">
        <v>2024</v>
      </c>
      <c r="B576" s="27" t="n">
        <v>6</v>
      </c>
      <c r="C576" s="27" t="s">
        <v>44</v>
      </c>
      <c r="D576" s="27" t="s">
        <v>26</v>
      </c>
      <c r="E576" s="27" t="s">
        <v>58</v>
      </c>
      <c r="F576" s="28" t="n">
        <v>305</v>
      </c>
      <c r="G576" s="29" t="n">
        <v>4410</v>
      </c>
      <c r="H576" s="29" t="n">
        <f aca="false">F576*G576</f>
        <v>1345050</v>
      </c>
    </row>
    <row r="577" customFormat="false" ht="15" hidden="false" customHeight="false" outlineLevel="0" collapsed="false">
      <c r="A577" s="27" t="n">
        <v>2024</v>
      </c>
      <c r="B577" s="27" t="n">
        <v>6</v>
      </c>
      <c r="C577" s="27" t="s">
        <v>44</v>
      </c>
      <c r="D577" s="27" t="s">
        <v>28</v>
      </c>
      <c r="E577" s="27" t="s">
        <v>50</v>
      </c>
      <c r="F577" s="28" t="n">
        <v>277</v>
      </c>
      <c r="G577" s="29" t="n">
        <v>4130</v>
      </c>
      <c r="H577" s="29" t="n">
        <f aca="false">F577*G577</f>
        <v>1144010</v>
      </c>
    </row>
    <row r="578" customFormat="false" ht="15" hidden="false" customHeight="false" outlineLevel="0" collapsed="false">
      <c r="A578" s="27" t="n">
        <v>2024</v>
      </c>
      <c r="B578" s="27" t="n">
        <v>6</v>
      </c>
      <c r="C578" s="27" t="s">
        <v>44</v>
      </c>
      <c r="D578" s="27" t="s">
        <v>28</v>
      </c>
      <c r="E578" s="27" t="s">
        <v>52</v>
      </c>
      <c r="F578" s="28" t="n">
        <v>174</v>
      </c>
      <c r="G578" s="29" t="n">
        <v>4070</v>
      </c>
      <c r="H578" s="29" t="n">
        <f aca="false">F578*G578</f>
        <v>708180</v>
      </c>
    </row>
    <row r="579" customFormat="false" ht="15" hidden="false" customHeight="false" outlineLevel="0" collapsed="false">
      <c r="A579" s="27" t="n">
        <v>2024</v>
      </c>
      <c r="B579" s="27" t="n">
        <v>6</v>
      </c>
      <c r="C579" s="27" t="s">
        <v>44</v>
      </c>
      <c r="D579" s="27" t="s">
        <v>28</v>
      </c>
      <c r="E579" s="27" t="s">
        <v>54</v>
      </c>
      <c r="F579" s="28" t="n">
        <v>142</v>
      </c>
      <c r="G579" s="29" t="n">
        <v>4100</v>
      </c>
      <c r="H579" s="29" t="n">
        <f aca="false">F579*G579</f>
        <v>582200</v>
      </c>
    </row>
    <row r="580" customFormat="false" ht="15" hidden="false" customHeight="false" outlineLevel="0" collapsed="false">
      <c r="A580" s="27" t="n">
        <v>2024</v>
      </c>
      <c r="B580" s="27" t="n">
        <v>6</v>
      </c>
      <c r="C580" s="27" t="s">
        <v>44</v>
      </c>
      <c r="D580" s="27" t="s">
        <v>28</v>
      </c>
      <c r="E580" s="27" t="s">
        <v>56</v>
      </c>
      <c r="F580" s="28" t="n">
        <v>163</v>
      </c>
      <c r="G580" s="29" t="n">
        <v>4160</v>
      </c>
      <c r="H580" s="29" t="n">
        <f aca="false">F580*G580</f>
        <v>678080</v>
      </c>
    </row>
    <row r="581" customFormat="false" ht="15" hidden="false" customHeight="false" outlineLevel="0" collapsed="false">
      <c r="A581" s="27" t="n">
        <v>2024</v>
      </c>
      <c r="B581" s="27" t="n">
        <v>6</v>
      </c>
      <c r="C581" s="27" t="s">
        <v>44</v>
      </c>
      <c r="D581" s="27" t="s">
        <v>28</v>
      </c>
      <c r="E581" s="27" t="s">
        <v>58</v>
      </c>
      <c r="F581" s="28" t="n">
        <v>98</v>
      </c>
      <c r="G581" s="29" t="n">
        <v>4040</v>
      </c>
      <c r="H581" s="29" t="n">
        <f aca="false">F581*G581</f>
        <v>395920</v>
      </c>
    </row>
    <row r="582" customFormat="false" ht="15" hidden="false" customHeight="false" outlineLevel="0" collapsed="false">
      <c r="A582" s="27" t="n">
        <v>2024</v>
      </c>
      <c r="B582" s="27" t="n">
        <v>6</v>
      </c>
      <c r="C582" s="27" t="s">
        <v>45</v>
      </c>
      <c r="D582" s="27" t="s">
        <v>22</v>
      </c>
      <c r="E582" s="27" t="s">
        <v>50</v>
      </c>
      <c r="F582" s="28" t="n">
        <v>3444</v>
      </c>
      <c r="G582" s="29" t="n">
        <v>2390</v>
      </c>
      <c r="H582" s="29" t="n">
        <f aca="false">F582*G582</f>
        <v>8231160</v>
      </c>
    </row>
    <row r="583" customFormat="false" ht="15" hidden="false" customHeight="false" outlineLevel="0" collapsed="false">
      <c r="A583" s="27" t="n">
        <v>2024</v>
      </c>
      <c r="B583" s="27" t="n">
        <v>6</v>
      </c>
      <c r="C583" s="27" t="s">
        <v>45</v>
      </c>
      <c r="D583" s="27" t="s">
        <v>22</v>
      </c>
      <c r="E583" s="27" t="s">
        <v>52</v>
      </c>
      <c r="F583" s="28" t="n">
        <v>2259</v>
      </c>
      <c r="G583" s="29" t="n">
        <v>2360</v>
      </c>
      <c r="H583" s="29" t="n">
        <f aca="false">F583*G583</f>
        <v>5331240</v>
      </c>
    </row>
    <row r="584" customFormat="false" ht="15" hidden="false" customHeight="false" outlineLevel="0" collapsed="false">
      <c r="A584" s="27" t="n">
        <v>2024</v>
      </c>
      <c r="B584" s="27" t="n">
        <v>6</v>
      </c>
      <c r="C584" s="27" t="s">
        <v>45</v>
      </c>
      <c r="D584" s="27" t="s">
        <v>22</v>
      </c>
      <c r="E584" s="27" t="s">
        <v>54</v>
      </c>
      <c r="F584" s="28" t="n">
        <v>1740</v>
      </c>
      <c r="G584" s="29" t="n">
        <v>2380</v>
      </c>
      <c r="H584" s="29" t="n">
        <f aca="false">F584*G584</f>
        <v>4141200</v>
      </c>
    </row>
    <row r="585" customFormat="false" ht="15" hidden="false" customHeight="false" outlineLevel="0" collapsed="false">
      <c r="A585" s="27" t="n">
        <v>2024</v>
      </c>
      <c r="B585" s="27" t="n">
        <v>6</v>
      </c>
      <c r="C585" s="27" t="s">
        <v>45</v>
      </c>
      <c r="D585" s="27" t="s">
        <v>22</v>
      </c>
      <c r="E585" s="27" t="s">
        <v>56</v>
      </c>
      <c r="F585" s="28" t="n">
        <v>2441</v>
      </c>
      <c r="G585" s="29" t="n">
        <v>2440</v>
      </c>
      <c r="H585" s="29" t="n">
        <f aca="false">F585*G585</f>
        <v>5956040</v>
      </c>
    </row>
    <row r="586" customFormat="false" ht="15" hidden="false" customHeight="false" outlineLevel="0" collapsed="false">
      <c r="A586" s="27" t="n">
        <v>2024</v>
      </c>
      <c r="B586" s="27" t="n">
        <v>6</v>
      </c>
      <c r="C586" s="27" t="s">
        <v>45</v>
      </c>
      <c r="D586" s="27" t="s">
        <v>22</v>
      </c>
      <c r="E586" s="27" t="s">
        <v>58</v>
      </c>
      <c r="F586" s="28" t="n">
        <v>1457</v>
      </c>
      <c r="G586" s="29" t="n">
        <v>2390</v>
      </c>
      <c r="H586" s="29" t="n">
        <f aca="false">F586*G586</f>
        <v>3482230</v>
      </c>
    </row>
    <row r="587" customFormat="false" ht="15" hidden="false" customHeight="false" outlineLevel="0" collapsed="false">
      <c r="A587" s="27" t="n">
        <v>2024</v>
      </c>
      <c r="B587" s="27" t="n">
        <v>6</v>
      </c>
      <c r="C587" s="27" t="s">
        <v>45</v>
      </c>
      <c r="D587" s="27" t="s">
        <v>24</v>
      </c>
      <c r="E587" s="27" t="s">
        <v>50</v>
      </c>
      <c r="F587" s="28" t="n">
        <v>1863</v>
      </c>
      <c r="G587" s="29" t="n">
        <v>2190</v>
      </c>
      <c r="H587" s="29" t="n">
        <f aca="false">F587*G587</f>
        <v>4079970</v>
      </c>
    </row>
    <row r="588" customFormat="false" ht="15" hidden="false" customHeight="false" outlineLevel="0" collapsed="false">
      <c r="A588" s="27" t="n">
        <v>2024</v>
      </c>
      <c r="B588" s="27" t="n">
        <v>6</v>
      </c>
      <c r="C588" s="27" t="s">
        <v>45</v>
      </c>
      <c r="D588" s="27" t="s">
        <v>24</v>
      </c>
      <c r="E588" s="27" t="s">
        <v>52</v>
      </c>
      <c r="F588" s="28" t="n">
        <v>1228</v>
      </c>
      <c r="G588" s="29" t="n">
        <v>2210</v>
      </c>
      <c r="H588" s="29" t="n">
        <f aca="false">F588*G588</f>
        <v>2713880</v>
      </c>
    </row>
    <row r="589" customFormat="false" ht="15" hidden="false" customHeight="false" outlineLevel="0" collapsed="false">
      <c r="A589" s="27" t="n">
        <v>2024</v>
      </c>
      <c r="B589" s="27" t="n">
        <v>6</v>
      </c>
      <c r="C589" s="27" t="s">
        <v>45</v>
      </c>
      <c r="D589" s="27" t="s">
        <v>24</v>
      </c>
      <c r="E589" s="27" t="s">
        <v>54</v>
      </c>
      <c r="F589" s="28" t="n">
        <v>984</v>
      </c>
      <c r="G589" s="29" t="n">
        <v>2200</v>
      </c>
      <c r="H589" s="29" t="n">
        <f aca="false">F589*G589</f>
        <v>2164800</v>
      </c>
    </row>
    <row r="590" customFormat="false" ht="15" hidden="false" customHeight="false" outlineLevel="0" collapsed="false">
      <c r="A590" s="27" t="n">
        <v>2024</v>
      </c>
      <c r="B590" s="27" t="n">
        <v>6</v>
      </c>
      <c r="C590" s="27" t="s">
        <v>45</v>
      </c>
      <c r="D590" s="27" t="s">
        <v>24</v>
      </c>
      <c r="E590" s="27" t="s">
        <v>56</v>
      </c>
      <c r="F590" s="28" t="n">
        <v>1129</v>
      </c>
      <c r="G590" s="29" t="n">
        <v>2240</v>
      </c>
      <c r="H590" s="29" t="n">
        <f aca="false">F590*G590</f>
        <v>2528960</v>
      </c>
    </row>
    <row r="591" customFormat="false" ht="15" hidden="false" customHeight="false" outlineLevel="0" collapsed="false">
      <c r="A591" s="27" t="n">
        <v>2024</v>
      </c>
      <c r="B591" s="27" t="n">
        <v>6</v>
      </c>
      <c r="C591" s="27" t="s">
        <v>45</v>
      </c>
      <c r="D591" s="27" t="s">
        <v>24</v>
      </c>
      <c r="E591" s="27" t="s">
        <v>58</v>
      </c>
      <c r="F591" s="28" t="n">
        <v>818</v>
      </c>
      <c r="G591" s="29" t="n">
        <v>2240</v>
      </c>
      <c r="H591" s="29" t="n">
        <f aca="false">F591*G591</f>
        <v>1832320</v>
      </c>
    </row>
    <row r="592" customFormat="false" ht="15" hidden="false" customHeight="false" outlineLevel="0" collapsed="false">
      <c r="A592" s="27" t="n">
        <v>2024</v>
      </c>
      <c r="B592" s="27" t="n">
        <v>6</v>
      </c>
      <c r="C592" s="27" t="s">
        <v>45</v>
      </c>
      <c r="D592" s="27" t="s">
        <v>26</v>
      </c>
      <c r="E592" s="27" t="s">
        <v>50</v>
      </c>
      <c r="F592" s="28" t="n">
        <v>889</v>
      </c>
      <c r="G592" s="29" t="n">
        <v>2710</v>
      </c>
      <c r="H592" s="29" t="n">
        <f aca="false">F592*G592</f>
        <v>2409190</v>
      </c>
    </row>
    <row r="593" customFormat="false" ht="15" hidden="false" customHeight="false" outlineLevel="0" collapsed="false">
      <c r="A593" s="27" t="n">
        <v>2024</v>
      </c>
      <c r="B593" s="27" t="n">
        <v>6</v>
      </c>
      <c r="C593" s="27" t="s">
        <v>45</v>
      </c>
      <c r="D593" s="27" t="s">
        <v>26</v>
      </c>
      <c r="E593" s="27" t="s">
        <v>52</v>
      </c>
      <c r="F593" s="28" t="n">
        <v>571</v>
      </c>
      <c r="G593" s="29" t="n">
        <v>2710</v>
      </c>
      <c r="H593" s="29" t="n">
        <f aca="false">F593*G593</f>
        <v>1547410</v>
      </c>
    </row>
    <row r="594" customFormat="false" ht="15" hidden="false" customHeight="false" outlineLevel="0" collapsed="false">
      <c r="A594" s="27" t="n">
        <v>2024</v>
      </c>
      <c r="B594" s="27" t="n">
        <v>6</v>
      </c>
      <c r="C594" s="27" t="s">
        <v>45</v>
      </c>
      <c r="D594" s="27" t="s">
        <v>26</v>
      </c>
      <c r="E594" s="27" t="s">
        <v>54</v>
      </c>
      <c r="F594" s="28" t="n">
        <v>476</v>
      </c>
      <c r="G594" s="29" t="n">
        <v>2650</v>
      </c>
      <c r="H594" s="29" t="n">
        <f aca="false">F594*G594</f>
        <v>1261400</v>
      </c>
    </row>
    <row r="595" customFormat="false" ht="15" hidden="false" customHeight="false" outlineLevel="0" collapsed="false">
      <c r="A595" s="27" t="n">
        <v>2024</v>
      </c>
      <c r="B595" s="27" t="n">
        <v>6</v>
      </c>
      <c r="C595" s="27" t="s">
        <v>45</v>
      </c>
      <c r="D595" s="27" t="s">
        <v>26</v>
      </c>
      <c r="E595" s="27" t="s">
        <v>56</v>
      </c>
      <c r="F595" s="28" t="n">
        <v>556</v>
      </c>
      <c r="G595" s="29" t="n">
        <v>2700</v>
      </c>
      <c r="H595" s="29" t="n">
        <f aca="false">F595*G595</f>
        <v>1501200</v>
      </c>
    </row>
    <row r="596" customFormat="false" ht="15" hidden="false" customHeight="false" outlineLevel="0" collapsed="false">
      <c r="A596" s="27" t="n">
        <v>2024</v>
      </c>
      <c r="B596" s="27" t="n">
        <v>6</v>
      </c>
      <c r="C596" s="27" t="s">
        <v>45</v>
      </c>
      <c r="D596" s="27" t="s">
        <v>26</v>
      </c>
      <c r="E596" s="27" t="s">
        <v>58</v>
      </c>
      <c r="F596" s="28" t="n">
        <v>399</v>
      </c>
      <c r="G596" s="29" t="n">
        <v>2680</v>
      </c>
      <c r="H596" s="29" t="n">
        <f aca="false">F596*G596</f>
        <v>1069320</v>
      </c>
    </row>
    <row r="597" customFormat="false" ht="15" hidden="false" customHeight="false" outlineLevel="0" collapsed="false">
      <c r="A597" s="27" t="n">
        <v>2024</v>
      </c>
      <c r="B597" s="27" t="n">
        <v>6</v>
      </c>
      <c r="C597" s="27" t="s">
        <v>45</v>
      </c>
      <c r="D597" s="27" t="s">
        <v>28</v>
      </c>
      <c r="E597" s="27" t="s">
        <v>50</v>
      </c>
      <c r="F597" s="28" t="n">
        <v>394</v>
      </c>
      <c r="G597" s="29" t="n">
        <v>2550</v>
      </c>
      <c r="H597" s="29" t="n">
        <f aca="false">F597*G597</f>
        <v>1004700</v>
      </c>
    </row>
    <row r="598" customFormat="false" ht="15" hidden="false" customHeight="false" outlineLevel="0" collapsed="false">
      <c r="A598" s="27" t="n">
        <v>2024</v>
      </c>
      <c r="B598" s="27" t="n">
        <v>6</v>
      </c>
      <c r="C598" s="27" t="s">
        <v>45</v>
      </c>
      <c r="D598" s="27" t="s">
        <v>28</v>
      </c>
      <c r="E598" s="27" t="s">
        <v>52</v>
      </c>
      <c r="F598" s="28" t="n">
        <v>226</v>
      </c>
      <c r="G598" s="29" t="n">
        <v>2540</v>
      </c>
      <c r="H598" s="29" t="n">
        <f aca="false">F598*G598</f>
        <v>574040</v>
      </c>
    </row>
    <row r="599" customFormat="false" ht="15" hidden="false" customHeight="false" outlineLevel="0" collapsed="false">
      <c r="A599" s="27" t="n">
        <v>2024</v>
      </c>
      <c r="B599" s="27" t="n">
        <v>6</v>
      </c>
      <c r="C599" s="27" t="s">
        <v>45</v>
      </c>
      <c r="D599" s="27" t="s">
        <v>28</v>
      </c>
      <c r="E599" s="27" t="s">
        <v>54</v>
      </c>
      <c r="F599" s="28" t="n">
        <v>201</v>
      </c>
      <c r="G599" s="29" t="n">
        <v>2570</v>
      </c>
      <c r="H599" s="29" t="n">
        <f aca="false">F599*G599</f>
        <v>516570</v>
      </c>
    </row>
    <row r="600" customFormat="false" ht="15" hidden="false" customHeight="false" outlineLevel="0" collapsed="false">
      <c r="A600" s="27" t="n">
        <v>2024</v>
      </c>
      <c r="B600" s="27" t="n">
        <v>6</v>
      </c>
      <c r="C600" s="27" t="s">
        <v>45</v>
      </c>
      <c r="D600" s="27" t="s">
        <v>28</v>
      </c>
      <c r="E600" s="27" t="s">
        <v>56</v>
      </c>
      <c r="F600" s="28" t="n">
        <v>204</v>
      </c>
      <c r="G600" s="29" t="n">
        <v>2500</v>
      </c>
      <c r="H600" s="29" t="n">
        <f aca="false">F600*G600</f>
        <v>510000</v>
      </c>
    </row>
    <row r="601" customFormat="false" ht="15" hidden="false" customHeight="false" outlineLevel="0" collapsed="false">
      <c r="A601" s="27" t="n">
        <v>2024</v>
      </c>
      <c r="B601" s="27" t="n">
        <v>6</v>
      </c>
      <c r="C601" s="27" t="s">
        <v>45</v>
      </c>
      <c r="D601" s="27" t="s">
        <v>28</v>
      </c>
      <c r="E601" s="27" t="s">
        <v>58</v>
      </c>
      <c r="F601" s="28" t="n">
        <v>160</v>
      </c>
      <c r="G601" s="29" t="n">
        <v>2490</v>
      </c>
      <c r="H601" s="29" t="n">
        <f aca="false">F601*G601</f>
        <v>398400</v>
      </c>
    </row>
    <row r="602" customFormat="false" ht="15" hidden="false" customHeight="false" outlineLevel="0" collapsed="false">
      <c r="A602" s="27" t="n">
        <v>2024</v>
      </c>
      <c r="B602" s="27" t="n">
        <v>7</v>
      </c>
      <c r="C602" s="27" t="s">
        <v>38</v>
      </c>
      <c r="D602" s="27" t="s">
        <v>22</v>
      </c>
      <c r="E602" s="27" t="s">
        <v>50</v>
      </c>
      <c r="F602" s="28" t="n">
        <v>8780</v>
      </c>
      <c r="G602" s="29" t="n">
        <v>2590</v>
      </c>
      <c r="H602" s="29" t="n">
        <f aca="false">F602*G602</f>
        <v>22740200</v>
      </c>
    </row>
    <row r="603" customFormat="false" ht="15" hidden="false" customHeight="false" outlineLevel="0" collapsed="false">
      <c r="A603" s="27" t="n">
        <v>2024</v>
      </c>
      <c r="B603" s="27" t="n">
        <v>7</v>
      </c>
      <c r="C603" s="27" t="s">
        <v>38</v>
      </c>
      <c r="D603" s="27" t="s">
        <v>22</v>
      </c>
      <c r="E603" s="27" t="s">
        <v>52</v>
      </c>
      <c r="F603" s="28" t="n">
        <v>5999</v>
      </c>
      <c r="G603" s="29" t="n">
        <v>2600</v>
      </c>
      <c r="H603" s="29" t="n">
        <f aca="false">F603*G603</f>
        <v>15597400</v>
      </c>
    </row>
    <row r="604" customFormat="false" ht="15" hidden="false" customHeight="false" outlineLevel="0" collapsed="false">
      <c r="A604" s="27" t="n">
        <v>2024</v>
      </c>
      <c r="B604" s="27" t="n">
        <v>7</v>
      </c>
      <c r="C604" s="27" t="s">
        <v>38</v>
      </c>
      <c r="D604" s="27" t="s">
        <v>22</v>
      </c>
      <c r="E604" s="27" t="s">
        <v>54</v>
      </c>
      <c r="F604" s="28" t="n">
        <v>4548</v>
      </c>
      <c r="G604" s="29" t="n">
        <v>2580</v>
      </c>
      <c r="H604" s="29" t="n">
        <f aca="false">F604*G604</f>
        <v>11733840</v>
      </c>
    </row>
    <row r="605" customFormat="false" ht="15" hidden="false" customHeight="false" outlineLevel="0" collapsed="false">
      <c r="A605" s="27" t="n">
        <v>2024</v>
      </c>
      <c r="B605" s="27" t="n">
        <v>7</v>
      </c>
      <c r="C605" s="27" t="s">
        <v>38</v>
      </c>
      <c r="D605" s="27" t="s">
        <v>22</v>
      </c>
      <c r="E605" s="27" t="s">
        <v>56</v>
      </c>
      <c r="F605" s="28" t="n">
        <v>5383</v>
      </c>
      <c r="G605" s="29" t="n">
        <v>2580</v>
      </c>
      <c r="H605" s="29" t="n">
        <f aca="false">F605*G605</f>
        <v>13888140</v>
      </c>
    </row>
    <row r="606" customFormat="false" ht="15" hidden="false" customHeight="false" outlineLevel="0" collapsed="false">
      <c r="A606" s="27" t="n">
        <v>2024</v>
      </c>
      <c r="B606" s="27" t="n">
        <v>7</v>
      </c>
      <c r="C606" s="27" t="s">
        <v>38</v>
      </c>
      <c r="D606" s="27" t="s">
        <v>22</v>
      </c>
      <c r="E606" s="27" t="s">
        <v>58</v>
      </c>
      <c r="F606" s="28" t="n">
        <v>4255</v>
      </c>
      <c r="G606" s="29" t="n">
        <v>2610</v>
      </c>
      <c r="H606" s="29" t="n">
        <f aca="false">F606*G606</f>
        <v>11105550</v>
      </c>
    </row>
    <row r="607" customFormat="false" ht="15" hidden="false" customHeight="false" outlineLevel="0" collapsed="false">
      <c r="A607" s="27" t="n">
        <v>2024</v>
      </c>
      <c r="B607" s="27" t="n">
        <v>7</v>
      </c>
      <c r="C607" s="27" t="s">
        <v>38</v>
      </c>
      <c r="D607" s="27" t="s">
        <v>24</v>
      </c>
      <c r="E607" s="27" t="s">
        <v>50</v>
      </c>
      <c r="F607" s="28" t="n">
        <v>5302</v>
      </c>
      <c r="G607" s="29" t="n">
        <v>2410</v>
      </c>
      <c r="H607" s="29" t="n">
        <f aca="false">F607*G607</f>
        <v>12777820</v>
      </c>
    </row>
    <row r="608" customFormat="false" ht="15" hidden="false" customHeight="false" outlineLevel="0" collapsed="false">
      <c r="A608" s="27" t="n">
        <v>2024</v>
      </c>
      <c r="B608" s="27" t="n">
        <v>7</v>
      </c>
      <c r="C608" s="27" t="s">
        <v>38</v>
      </c>
      <c r="D608" s="27" t="s">
        <v>24</v>
      </c>
      <c r="E608" s="27" t="s">
        <v>52</v>
      </c>
      <c r="F608" s="28" t="n">
        <v>3144</v>
      </c>
      <c r="G608" s="29" t="n">
        <v>2400</v>
      </c>
      <c r="H608" s="29" t="n">
        <f aca="false">F608*G608</f>
        <v>7545600</v>
      </c>
    </row>
    <row r="609" customFormat="false" ht="15" hidden="false" customHeight="false" outlineLevel="0" collapsed="false">
      <c r="A609" s="27" t="n">
        <v>2024</v>
      </c>
      <c r="B609" s="27" t="n">
        <v>7</v>
      </c>
      <c r="C609" s="27" t="s">
        <v>38</v>
      </c>
      <c r="D609" s="27" t="s">
        <v>24</v>
      </c>
      <c r="E609" s="27" t="s">
        <v>54</v>
      </c>
      <c r="F609" s="28" t="n">
        <v>2202</v>
      </c>
      <c r="G609" s="29" t="n">
        <v>2380</v>
      </c>
      <c r="H609" s="29" t="n">
        <f aca="false">F609*G609</f>
        <v>5240760</v>
      </c>
    </row>
    <row r="610" customFormat="false" ht="15" hidden="false" customHeight="false" outlineLevel="0" collapsed="false">
      <c r="A610" s="27" t="n">
        <v>2024</v>
      </c>
      <c r="B610" s="27" t="n">
        <v>7</v>
      </c>
      <c r="C610" s="27" t="s">
        <v>38</v>
      </c>
      <c r="D610" s="27" t="s">
        <v>24</v>
      </c>
      <c r="E610" s="27" t="s">
        <v>56</v>
      </c>
      <c r="F610" s="28" t="n">
        <v>2741</v>
      </c>
      <c r="G610" s="29" t="n">
        <v>2360</v>
      </c>
      <c r="H610" s="29" t="n">
        <f aca="false">F610*G610</f>
        <v>6468760</v>
      </c>
    </row>
    <row r="611" customFormat="false" ht="15" hidden="false" customHeight="false" outlineLevel="0" collapsed="false">
      <c r="A611" s="27" t="n">
        <v>2024</v>
      </c>
      <c r="B611" s="27" t="n">
        <v>7</v>
      </c>
      <c r="C611" s="27" t="s">
        <v>38</v>
      </c>
      <c r="D611" s="27" t="s">
        <v>24</v>
      </c>
      <c r="E611" s="27" t="s">
        <v>58</v>
      </c>
      <c r="F611" s="28" t="n">
        <v>1939</v>
      </c>
      <c r="G611" s="29" t="n">
        <v>2450</v>
      </c>
      <c r="H611" s="29" t="n">
        <f aca="false">F611*G611</f>
        <v>4750550</v>
      </c>
    </row>
    <row r="612" customFormat="false" ht="15" hidden="false" customHeight="false" outlineLevel="0" collapsed="false">
      <c r="A612" s="27" t="n">
        <v>2024</v>
      </c>
      <c r="B612" s="27" t="n">
        <v>7</v>
      </c>
      <c r="C612" s="27" t="s">
        <v>38</v>
      </c>
      <c r="D612" s="27" t="s">
        <v>26</v>
      </c>
      <c r="E612" s="27" t="s">
        <v>50</v>
      </c>
      <c r="F612" s="28" t="n">
        <v>2439</v>
      </c>
      <c r="G612" s="29" t="n">
        <v>2950</v>
      </c>
      <c r="H612" s="29" t="n">
        <f aca="false">F612*G612</f>
        <v>7195050</v>
      </c>
    </row>
    <row r="613" customFormat="false" ht="15" hidden="false" customHeight="false" outlineLevel="0" collapsed="false">
      <c r="A613" s="27" t="n">
        <v>2024</v>
      </c>
      <c r="B613" s="27" t="n">
        <v>7</v>
      </c>
      <c r="C613" s="27" t="s">
        <v>38</v>
      </c>
      <c r="D613" s="27" t="s">
        <v>26</v>
      </c>
      <c r="E613" s="27" t="s">
        <v>52</v>
      </c>
      <c r="F613" s="28" t="n">
        <v>1559</v>
      </c>
      <c r="G613" s="29" t="n">
        <v>2930</v>
      </c>
      <c r="H613" s="29" t="n">
        <f aca="false">F613*G613</f>
        <v>4567870</v>
      </c>
    </row>
    <row r="614" customFormat="false" ht="15" hidden="false" customHeight="false" outlineLevel="0" collapsed="false">
      <c r="A614" s="27" t="n">
        <v>2024</v>
      </c>
      <c r="B614" s="27" t="n">
        <v>7</v>
      </c>
      <c r="C614" s="27" t="s">
        <v>38</v>
      </c>
      <c r="D614" s="27" t="s">
        <v>26</v>
      </c>
      <c r="E614" s="27" t="s">
        <v>54</v>
      </c>
      <c r="F614" s="28" t="n">
        <v>1167</v>
      </c>
      <c r="G614" s="29" t="n">
        <v>2930</v>
      </c>
      <c r="H614" s="29" t="n">
        <f aca="false">F614*G614</f>
        <v>3419310</v>
      </c>
    </row>
    <row r="615" customFormat="false" ht="15" hidden="false" customHeight="false" outlineLevel="0" collapsed="false">
      <c r="A615" s="27" t="n">
        <v>2024</v>
      </c>
      <c r="B615" s="27" t="n">
        <v>7</v>
      </c>
      <c r="C615" s="27" t="s">
        <v>38</v>
      </c>
      <c r="D615" s="27" t="s">
        <v>26</v>
      </c>
      <c r="E615" s="27" t="s">
        <v>56</v>
      </c>
      <c r="F615" s="28" t="n">
        <v>1504</v>
      </c>
      <c r="G615" s="29" t="n">
        <v>2900</v>
      </c>
      <c r="H615" s="29" t="n">
        <f aca="false">F615*G615</f>
        <v>4361600</v>
      </c>
    </row>
    <row r="616" customFormat="false" ht="15" hidden="false" customHeight="false" outlineLevel="0" collapsed="false">
      <c r="A616" s="27" t="n">
        <v>2024</v>
      </c>
      <c r="B616" s="27" t="n">
        <v>7</v>
      </c>
      <c r="C616" s="27" t="s">
        <v>38</v>
      </c>
      <c r="D616" s="27" t="s">
        <v>26</v>
      </c>
      <c r="E616" s="27" t="s">
        <v>58</v>
      </c>
      <c r="F616" s="28" t="n">
        <v>1021</v>
      </c>
      <c r="G616" s="29" t="n">
        <v>2930</v>
      </c>
      <c r="H616" s="29" t="n">
        <f aca="false">F616*G616</f>
        <v>2991530</v>
      </c>
    </row>
    <row r="617" customFormat="false" ht="15" hidden="false" customHeight="false" outlineLevel="0" collapsed="false">
      <c r="A617" s="27" t="n">
        <v>2024</v>
      </c>
      <c r="B617" s="27" t="n">
        <v>7</v>
      </c>
      <c r="C617" s="27" t="s">
        <v>38</v>
      </c>
      <c r="D617" s="27" t="s">
        <v>28</v>
      </c>
      <c r="E617" s="27" t="s">
        <v>50</v>
      </c>
      <c r="F617" s="28" t="n">
        <v>914</v>
      </c>
      <c r="G617" s="29" t="n">
        <v>2700</v>
      </c>
      <c r="H617" s="29" t="n">
        <f aca="false">F617*G617</f>
        <v>2467800</v>
      </c>
    </row>
    <row r="618" customFormat="false" ht="15" hidden="false" customHeight="false" outlineLevel="0" collapsed="false">
      <c r="A618" s="27" t="n">
        <v>2024</v>
      </c>
      <c r="B618" s="27" t="n">
        <v>7</v>
      </c>
      <c r="C618" s="27" t="s">
        <v>38</v>
      </c>
      <c r="D618" s="27" t="s">
        <v>28</v>
      </c>
      <c r="E618" s="27" t="s">
        <v>52</v>
      </c>
      <c r="F618" s="28" t="n">
        <v>553</v>
      </c>
      <c r="G618" s="29" t="n">
        <v>2730</v>
      </c>
      <c r="H618" s="29" t="n">
        <f aca="false">F618*G618</f>
        <v>1509690</v>
      </c>
    </row>
    <row r="619" customFormat="false" ht="15" hidden="false" customHeight="false" outlineLevel="0" collapsed="false">
      <c r="A619" s="27" t="n">
        <v>2024</v>
      </c>
      <c r="B619" s="27" t="n">
        <v>7</v>
      </c>
      <c r="C619" s="27" t="s">
        <v>38</v>
      </c>
      <c r="D619" s="27" t="s">
        <v>28</v>
      </c>
      <c r="E619" s="27" t="s">
        <v>54</v>
      </c>
      <c r="F619" s="28" t="n">
        <v>478</v>
      </c>
      <c r="G619" s="29" t="n">
        <v>2710</v>
      </c>
      <c r="H619" s="29" t="n">
        <f aca="false">F619*G619</f>
        <v>1295380</v>
      </c>
    </row>
    <row r="620" customFormat="false" ht="15" hidden="false" customHeight="false" outlineLevel="0" collapsed="false">
      <c r="A620" s="27" t="n">
        <v>2024</v>
      </c>
      <c r="B620" s="27" t="n">
        <v>7</v>
      </c>
      <c r="C620" s="27" t="s">
        <v>38</v>
      </c>
      <c r="D620" s="27" t="s">
        <v>28</v>
      </c>
      <c r="E620" s="27" t="s">
        <v>56</v>
      </c>
      <c r="F620" s="28" t="n">
        <v>559</v>
      </c>
      <c r="G620" s="29" t="n">
        <v>2750</v>
      </c>
      <c r="H620" s="29" t="n">
        <f aca="false">F620*G620</f>
        <v>1537250</v>
      </c>
    </row>
    <row r="621" customFormat="false" ht="15" hidden="false" customHeight="false" outlineLevel="0" collapsed="false">
      <c r="A621" s="27" t="n">
        <v>2024</v>
      </c>
      <c r="B621" s="27" t="n">
        <v>7</v>
      </c>
      <c r="C621" s="27" t="s">
        <v>38</v>
      </c>
      <c r="D621" s="27" t="s">
        <v>28</v>
      </c>
      <c r="E621" s="27" t="s">
        <v>58</v>
      </c>
      <c r="F621" s="28" t="n">
        <v>394</v>
      </c>
      <c r="G621" s="29" t="n">
        <v>2770</v>
      </c>
      <c r="H621" s="29" t="n">
        <f aca="false">F621*G621</f>
        <v>1091380</v>
      </c>
    </row>
    <row r="622" customFormat="false" ht="15" hidden="false" customHeight="false" outlineLevel="0" collapsed="false">
      <c r="A622" s="27" t="n">
        <v>2024</v>
      </c>
      <c r="B622" s="27" t="n">
        <v>7</v>
      </c>
      <c r="C622" s="27" t="s">
        <v>40</v>
      </c>
      <c r="D622" s="27" t="s">
        <v>22</v>
      </c>
      <c r="E622" s="27" t="s">
        <v>50</v>
      </c>
      <c r="F622" s="28" t="n">
        <v>6201</v>
      </c>
      <c r="G622" s="29" t="n">
        <v>2280</v>
      </c>
      <c r="H622" s="29" t="n">
        <f aca="false">F622*G622</f>
        <v>14138280</v>
      </c>
    </row>
    <row r="623" customFormat="false" ht="15" hidden="false" customHeight="false" outlineLevel="0" collapsed="false">
      <c r="A623" s="27" t="n">
        <v>2024</v>
      </c>
      <c r="B623" s="27" t="n">
        <v>7</v>
      </c>
      <c r="C623" s="27" t="s">
        <v>40</v>
      </c>
      <c r="D623" s="27" t="s">
        <v>22</v>
      </c>
      <c r="E623" s="27" t="s">
        <v>52</v>
      </c>
      <c r="F623" s="28" t="n">
        <v>3950</v>
      </c>
      <c r="G623" s="29" t="n">
        <v>2290</v>
      </c>
      <c r="H623" s="29" t="n">
        <f aca="false">F623*G623</f>
        <v>9045500</v>
      </c>
    </row>
    <row r="624" customFormat="false" ht="15" hidden="false" customHeight="false" outlineLevel="0" collapsed="false">
      <c r="A624" s="27" t="n">
        <v>2024</v>
      </c>
      <c r="B624" s="27" t="n">
        <v>7</v>
      </c>
      <c r="C624" s="27" t="s">
        <v>40</v>
      </c>
      <c r="D624" s="27" t="s">
        <v>22</v>
      </c>
      <c r="E624" s="27" t="s">
        <v>54</v>
      </c>
      <c r="F624" s="28" t="n">
        <v>3067</v>
      </c>
      <c r="G624" s="29" t="n">
        <v>2300</v>
      </c>
      <c r="H624" s="29" t="n">
        <f aca="false">F624*G624</f>
        <v>7054100</v>
      </c>
    </row>
    <row r="625" customFormat="false" ht="15" hidden="false" customHeight="false" outlineLevel="0" collapsed="false">
      <c r="A625" s="27" t="n">
        <v>2024</v>
      </c>
      <c r="B625" s="27" t="n">
        <v>7</v>
      </c>
      <c r="C625" s="27" t="s">
        <v>40</v>
      </c>
      <c r="D625" s="27" t="s">
        <v>22</v>
      </c>
      <c r="E625" s="27" t="s">
        <v>56</v>
      </c>
      <c r="F625" s="28" t="n">
        <v>3390</v>
      </c>
      <c r="G625" s="29" t="n">
        <v>2260</v>
      </c>
      <c r="H625" s="29" t="n">
        <f aca="false">F625*G625</f>
        <v>7661400</v>
      </c>
    </row>
    <row r="626" customFormat="false" ht="15" hidden="false" customHeight="false" outlineLevel="0" collapsed="false">
      <c r="A626" s="27" t="n">
        <v>2024</v>
      </c>
      <c r="B626" s="27" t="n">
        <v>7</v>
      </c>
      <c r="C626" s="27" t="s">
        <v>40</v>
      </c>
      <c r="D626" s="27" t="s">
        <v>22</v>
      </c>
      <c r="E626" s="27" t="s">
        <v>58</v>
      </c>
      <c r="F626" s="28" t="n">
        <v>2348</v>
      </c>
      <c r="G626" s="29" t="n">
        <v>2260</v>
      </c>
      <c r="H626" s="29" t="n">
        <f aca="false">F626*G626</f>
        <v>5306480</v>
      </c>
    </row>
    <row r="627" customFormat="false" ht="15" hidden="false" customHeight="false" outlineLevel="0" collapsed="false">
      <c r="A627" s="27" t="n">
        <v>2024</v>
      </c>
      <c r="B627" s="27" t="n">
        <v>7</v>
      </c>
      <c r="C627" s="27" t="s">
        <v>40</v>
      </c>
      <c r="D627" s="27" t="s">
        <v>24</v>
      </c>
      <c r="E627" s="27" t="s">
        <v>50</v>
      </c>
      <c r="F627" s="28" t="n">
        <v>3300</v>
      </c>
      <c r="G627" s="29" t="n">
        <v>2170</v>
      </c>
      <c r="H627" s="29" t="n">
        <f aca="false">F627*G627</f>
        <v>7161000</v>
      </c>
    </row>
    <row r="628" customFormat="false" ht="15" hidden="false" customHeight="false" outlineLevel="0" collapsed="false">
      <c r="A628" s="27" t="n">
        <v>2024</v>
      </c>
      <c r="B628" s="27" t="n">
        <v>7</v>
      </c>
      <c r="C628" s="27" t="s">
        <v>40</v>
      </c>
      <c r="D628" s="27" t="s">
        <v>24</v>
      </c>
      <c r="E628" s="27" t="s">
        <v>52</v>
      </c>
      <c r="F628" s="28" t="n">
        <v>1889</v>
      </c>
      <c r="G628" s="29" t="n">
        <v>2150</v>
      </c>
      <c r="H628" s="29" t="n">
        <f aca="false">F628*G628</f>
        <v>4061350</v>
      </c>
    </row>
    <row r="629" customFormat="false" ht="15" hidden="false" customHeight="false" outlineLevel="0" collapsed="false">
      <c r="A629" s="27" t="n">
        <v>2024</v>
      </c>
      <c r="B629" s="27" t="n">
        <v>7</v>
      </c>
      <c r="C629" s="27" t="s">
        <v>40</v>
      </c>
      <c r="D629" s="27" t="s">
        <v>24</v>
      </c>
      <c r="E629" s="27" t="s">
        <v>54</v>
      </c>
      <c r="F629" s="28" t="n">
        <v>1517</v>
      </c>
      <c r="G629" s="29" t="n">
        <v>2130</v>
      </c>
      <c r="H629" s="29" t="n">
        <f aca="false">F629*G629</f>
        <v>3231210</v>
      </c>
    </row>
    <row r="630" customFormat="false" ht="15" hidden="false" customHeight="false" outlineLevel="0" collapsed="false">
      <c r="A630" s="27" t="n">
        <v>2024</v>
      </c>
      <c r="B630" s="27" t="n">
        <v>7</v>
      </c>
      <c r="C630" s="27" t="s">
        <v>40</v>
      </c>
      <c r="D630" s="27" t="s">
        <v>24</v>
      </c>
      <c r="E630" s="27" t="s">
        <v>56</v>
      </c>
      <c r="F630" s="28" t="n">
        <v>1941</v>
      </c>
      <c r="G630" s="29" t="n">
        <v>2140</v>
      </c>
      <c r="H630" s="29" t="n">
        <f aca="false">F630*G630</f>
        <v>4153740</v>
      </c>
    </row>
    <row r="631" customFormat="false" ht="15" hidden="false" customHeight="false" outlineLevel="0" collapsed="false">
      <c r="A631" s="27" t="n">
        <v>2024</v>
      </c>
      <c r="B631" s="27" t="n">
        <v>7</v>
      </c>
      <c r="C631" s="27" t="s">
        <v>40</v>
      </c>
      <c r="D631" s="27" t="s">
        <v>24</v>
      </c>
      <c r="E631" s="27" t="s">
        <v>58</v>
      </c>
      <c r="F631" s="28" t="n">
        <v>1390</v>
      </c>
      <c r="G631" s="29" t="n">
        <v>2130</v>
      </c>
      <c r="H631" s="29" t="n">
        <f aca="false">F631*G631</f>
        <v>2960700</v>
      </c>
    </row>
    <row r="632" customFormat="false" ht="15" hidden="false" customHeight="false" outlineLevel="0" collapsed="false">
      <c r="A632" s="27" t="n">
        <v>2024</v>
      </c>
      <c r="B632" s="27" t="n">
        <v>7</v>
      </c>
      <c r="C632" s="27" t="s">
        <v>40</v>
      </c>
      <c r="D632" s="27" t="s">
        <v>26</v>
      </c>
      <c r="E632" s="27" t="s">
        <v>50</v>
      </c>
      <c r="F632" s="28" t="n">
        <v>1591</v>
      </c>
      <c r="G632" s="29" t="n">
        <v>2580</v>
      </c>
      <c r="H632" s="29" t="n">
        <f aca="false">F632*G632</f>
        <v>4104780</v>
      </c>
    </row>
    <row r="633" customFormat="false" ht="15" hidden="false" customHeight="false" outlineLevel="0" collapsed="false">
      <c r="A633" s="27" t="n">
        <v>2024</v>
      </c>
      <c r="B633" s="27" t="n">
        <v>7</v>
      </c>
      <c r="C633" s="27" t="s">
        <v>40</v>
      </c>
      <c r="D633" s="27" t="s">
        <v>26</v>
      </c>
      <c r="E633" s="27" t="s">
        <v>52</v>
      </c>
      <c r="F633" s="28" t="n">
        <v>985</v>
      </c>
      <c r="G633" s="29" t="n">
        <v>2560</v>
      </c>
      <c r="H633" s="29" t="n">
        <f aca="false">F633*G633</f>
        <v>2521600</v>
      </c>
    </row>
    <row r="634" customFormat="false" ht="15" hidden="false" customHeight="false" outlineLevel="0" collapsed="false">
      <c r="A634" s="27" t="n">
        <v>2024</v>
      </c>
      <c r="B634" s="27" t="n">
        <v>7</v>
      </c>
      <c r="C634" s="27" t="s">
        <v>40</v>
      </c>
      <c r="D634" s="27" t="s">
        <v>26</v>
      </c>
      <c r="E634" s="27" t="s">
        <v>54</v>
      </c>
      <c r="F634" s="28" t="n">
        <v>756</v>
      </c>
      <c r="G634" s="29" t="n">
        <v>2570</v>
      </c>
      <c r="H634" s="29" t="n">
        <f aca="false">F634*G634</f>
        <v>1942920</v>
      </c>
    </row>
    <row r="635" customFormat="false" ht="15" hidden="false" customHeight="false" outlineLevel="0" collapsed="false">
      <c r="A635" s="27" t="n">
        <v>2024</v>
      </c>
      <c r="B635" s="27" t="n">
        <v>7</v>
      </c>
      <c r="C635" s="27" t="s">
        <v>40</v>
      </c>
      <c r="D635" s="27" t="s">
        <v>26</v>
      </c>
      <c r="E635" s="27" t="s">
        <v>56</v>
      </c>
      <c r="F635" s="28" t="n">
        <v>862</v>
      </c>
      <c r="G635" s="29" t="n">
        <v>2590</v>
      </c>
      <c r="H635" s="29" t="n">
        <f aca="false">F635*G635</f>
        <v>2232580</v>
      </c>
    </row>
    <row r="636" customFormat="false" ht="15" hidden="false" customHeight="false" outlineLevel="0" collapsed="false">
      <c r="A636" s="27" t="n">
        <v>2024</v>
      </c>
      <c r="B636" s="27" t="n">
        <v>7</v>
      </c>
      <c r="C636" s="27" t="s">
        <v>40</v>
      </c>
      <c r="D636" s="27" t="s">
        <v>26</v>
      </c>
      <c r="E636" s="27" t="s">
        <v>58</v>
      </c>
      <c r="F636" s="28" t="n">
        <v>636</v>
      </c>
      <c r="G636" s="29" t="n">
        <v>2590</v>
      </c>
      <c r="H636" s="29" t="n">
        <f aca="false">F636*G636</f>
        <v>1647240</v>
      </c>
    </row>
    <row r="637" customFormat="false" ht="15" hidden="false" customHeight="false" outlineLevel="0" collapsed="false">
      <c r="A637" s="27" t="n">
        <v>2024</v>
      </c>
      <c r="B637" s="27" t="n">
        <v>7</v>
      </c>
      <c r="C637" s="27" t="s">
        <v>40</v>
      </c>
      <c r="D637" s="27" t="s">
        <v>28</v>
      </c>
      <c r="E637" s="27" t="s">
        <v>50</v>
      </c>
      <c r="F637" s="28" t="n">
        <v>628</v>
      </c>
      <c r="G637" s="29" t="n">
        <v>2450</v>
      </c>
      <c r="H637" s="29" t="n">
        <f aca="false">F637*G637</f>
        <v>1538600</v>
      </c>
    </row>
    <row r="638" customFormat="false" ht="15" hidden="false" customHeight="false" outlineLevel="0" collapsed="false">
      <c r="A638" s="27" t="n">
        <v>2024</v>
      </c>
      <c r="B638" s="27" t="n">
        <v>7</v>
      </c>
      <c r="C638" s="27" t="s">
        <v>40</v>
      </c>
      <c r="D638" s="27" t="s">
        <v>28</v>
      </c>
      <c r="E638" s="27" t="s">
        <v>52</v>
      </c>
      <c r="F638" s="28" t="n">
        <v>357</v>
      </c>
      <c r="G638" s="29" t="n">
        <v>2420</v>
      </c>
      <c r="H638" s="29" t="n">
        <f aca="false">F638*G638</f>
        <v>863940</v>
      </c>
    </row>
    <row r="639" customFormat="false" ht="15" hidden="false" customHeight="false" outlineLevel="0" collapsed="false">
      <c r="A639" s="27" t="n">
        <v>2024</v>
      </c>
      <c r="B639" s="27" t="n">
        <v>7</v>
      </c>
      <c r="C639" s="27" t="s">
        <v>40</v>
      </c>
      <c r="D639" s="27" t="s">
        <v>28</v>
      </c>
      <c r="E639" s="27" t="s">
        <v>54</v>
      </c>
      <c r="F639" s="28" t="n">
        <v>282</v>
      </c>
      <c r="G639" s="29" t="n">
        <v>2420</v>
      </c>
      <c r="H639" s="29" t="n">
        <f aca="false">F639*G639</f>
        <v>682440</v>
      </c>
    </row>
    <row r="640" customFormat="false" ht="15" hidden="false" customHeight="false" outlineLevel="0" collapsed="false">
      <c r="A640" s="27" t="n">
        <v>2024</v>
      </c>
      <c r="B640" s="27" t="n">
        <v>7</v>
      </c>
      <c r="C640" s="27" t="s">
        <v>40</v>
      </c>
      <c r="D640" s="27" t="s">
        <v>28</v>
      </c>
      <c r="E640" s="27" t="s">
        <v>56</v>
      </c>
      <c r="F640" s="28" t="n">
        <v>336</v>
      </c>
      <c r="G640" s="29" t="n">
        <v>2450</v>
      </c>
      <c r="H640" s="29" t="n">
        <f aca="false">F640*G640</f>
        <v>823200</v>
      </c>
    </row>
    <row r="641" customFormat="false" ht="15" hidden="false" customHeight="false" outlineLevel="0" collapsed="false">
      <c r="A641" s="27" t="n">
        <v>2024</v>
      </c>
      <c r="B641" s="27" t="n">
        <v>7</v>
      </c>
      <c r="C641" s="27" t="s">
        <v>40</v>
      </c>
      <c r="D641" s="27" t="s">
        <v>28</v>
      </c>
      <c r="E641" s="27" t="s">
        <v>58</v>
      </c>
      <c r="F641" s="28" t="n">
        <v>241</v>
      </c>
      <c r="G641" s="29" t="n">
        <v>2410</v>
      </c>
      <c r="H641" s="29" t="n">
        <f aca="false">F641*G641</f>
        <v>580810</v>
      </c>
    </row>
    <row r="642" customFormat="false" ht="15" hidden="false" customHeight="false" outlineLevel="0" collapsed="false">
      <c r="A642" s="27" t="n">
        <v>2024</v>
      </c>
      <c r="B642" s="27" t="n">
        <v>7</v>
      </c>
      <c r="C642" s="27" t="s">
        <v>42</v>
      </c>
      <c r="D642" s="27" t="s">
        <v>22</v>
      </c>
      <c r="E642" s="27" t="s">
        <v>50</v>
      </c>
      <c r="F642" s="28" t="n">
        <v>5479</v>
      </c>
      <c r="G642" s="29" t="n">
        <v>2050</v>
      </c>
      <c r="H642" s="29" t="n">
        <f aca="false">F642*G642</f>
        <v>11231950</v>
      </c>
    </row>
    <row r="643" customFormat="false" ht="15" hidden="false" customHeight="false" outlineLevel="0" collapsed="false">
      <c r="A643" s="27" t="n">
        <v>2024</v>
      </c>
      <c r="B643" s="27" t="n">
        <v>7</v>
      </c>
      <c r="C643" s="27" t="s">
        <v>42</v>
      </c>
      <c r="D643" s="27" t="s">
        <v>22</v>
      </c>
      <c r="E643" s="27" t="s">
        <v>52</v>
      </c>
      <c r="F643" s="28" t="n">
        <v>2906</v>
      </c>
      <c r="G643" s="29" t="n">
        <v>2120</v>
      </c>
      <c r="H643" s="29" t="n">
        <f aca="false">F643*G643</f>
        <v>6160720</v>
      </c>
    </row>
    <row r="644" customFormat="false" ht="15" hidden="false" customHeight="false" outlineLevel="0" collapsed="false">
      <c r="A644" s="27" t="n">
        <v>2024</v>
      </c>
      <c r="B644" s="27" t="n">
        <v>7</v>
      </c>
      <c r="C644" s="27" t="s">
        <v>42</v>
      </c>
      <c r="D644" s="27" t="s">
        <v>22</v>
      </c>
      <c r="E644" s="27" t="s">
        <v>54</v>
      </c>
      <c r="F644" s="28" t="n">
        <v>2593</v>
      </c>
      <c r="G644" s="29" t="n">
        <v>2110</v>
      </c>
      <c r="H644" s="29" t="n">
        <f aca="false">F644*G644</f>
        <v>5471230</v>
      </c>
    </row>
    <row r="645" customFormat="false" ht="15" hidden="false" customHeight="false" outlineLevel="0" collapsed="false">
      <c r="A645" s="27" t="n">
        <v>2024</v>
      </c>
      <c r="B645" s="27" t="n">
        <v>7</v>
      </c>
      <c r="C645" s="27" t="s">
        <v>42</v>
      </c>
      <c r="D645" s="27" t="s">
        <v>22</v>
      </c>
      <c r="E645" s="27" t="s">
        <v>56</v>
      </c>
      <c r="F645" s="28" t="n">
        <v>2867</v>
      </c>
      <c r="G645" s="29" t="n">
        <v>2100</v>
      </c>
      <c r="H645" s="29" t="n">
        <f aca="false">F645*G645</f>
        <v>6020700</v>
      </c>
    </row>
    <row r="646" customFormat="false" ht="15" hidden="false" customHeight="false" outlineLevel="0" collapsed="false">
      <c r="A646" s="27" t="n">
        <v>2024</v>
      </c>
      <c r="B646" s="27" t="n">
        <v>7</v>
      </c>
      <c r="C646" s="27" t="s">
        <v>42</v>
      </c>
      <c r="D646" s="27" t="s">
        <v>22</v>
      </c>
      <c r="E646" s="27" t="s">
        <v>58</v>
      </c>
      <c r="F646" s="28" t="n">
        <v>2311</v>
      </c>
      <c r="G646" s="29" t="n">
        <v>2120</v>
      </c>
      <c r="H646" s="29" t="n">
        <f aca="false">F646*G646</f>
        <v>4899320</v>
      </c>
    </row>
    <row r="647" customFormat="false" ht="15" hidden="false" customHeight="false" outlineLevel="0" collapsed="false">
      <c r="A647" s="27" t="n">
        <v>2024</v>
      </c>
      <c r="B647" s="27" t="n">
        <v>7</v>
      </c>
      <c r="C647" s="27" t="s">
        <v>42</v>
      </c>
      <c r="D647" s="27" t="s">
        <v>24</v>
      </c>
      <c r="E647" s="27" t="s">
        <v>50</v>
      </c>
      <c r="F647" s="28" t="n">
        <v>2816</v>
      </c>
      <c r="G647" s="29" t="n">
        <v>1940</v>
      </c>
      <c r="H647" s="29" t="n">
        <f aca="false">F647*G647</f>
        <v>5463040</v>
      </c>
    </row>
    <row r="648" customFormat="false" ht="15" hidden="false" customHeight="false" outlineLevel="0" collapsed="false">
      <c r="A648" s="27" t="n">
        <v>2024</v>
      </c>
      <c r="B648" s="27" t="n">
        <v>7</v>
      </c>
      <c r="C648" s="27" t="s">
        <v>42</v>
      </c>
      <c r="D648" s="27" t="s">
        <v>24</v>
      </c>
      <c r="E648" s="27" t="s">
        <v>52</v>
      </c>
      <c r="F648" s="28" t="n">
        <v>1711</v>
      </c>
      <c r="G648" s="29" t="n">
        <v>1910</v>
      </c>
      <c r="H648" s="29" t="n">
        <f aca="false">F648*G648</f>
        <v>3268010</v>
      </c>
    </row>
    <row r="649" customFormat="false" ht="15" hidden="false" customHeight="false" outlineLevel="0" collapsed="false">
      <c r="A649" s="27" t="n">
        <v>2024</v>
      </c>
      <c r="B649" s="27" t="n">
        <v>7</v>
      </c>
      <c r="C649" s="27" t="s">
        <v>42</v>
      </c>
      <c r="D649" s="27" t="s">
        <v>24</v>
      </c>
      <c r="E649" s="27" t="s">
        <v>54</v>
      </c>
      <c r="F649" s="28" t="n">
        <v>1414</v>
      </c>
      <c r="G649" s="29" t="n">
        <v>1970</v>
      </c>
      <c r="H649" s="29" t="n">
        <f aca="false">F649*G649</f>
        <v>2785580</v>
      </c>
    </row>
    <row r="650" customFormat="false" ht="15" hidden="false" customHeight="false" outlineLevel="0" collapsed="false">
      <c r="A650" s="27" t="n">
        <v>2024</v>
      </c>
      <c r="B650" s="27" t="n">
        <v>7</v>
      </c>
      <c r="C650" s="27" t="s">
        <v>42</v>
      </c>
      <c r="D650" s="27" t="s">
        <v>24</v>
      </c>
      <c r="E650" s="27" t="s">
        <v>56</v>
      </c>
      <c r="F650" s="28" t="n">
        <v>1527</v>
      </c>
      <c r="G650" s="29" t="n">
        <v>1940</v>
      </c>
      <c r="H650" s="29" t="n">
        <f aca="false">F650*G650</f>
        <v>2962380</v>
      </c>
    </row>
    <row r="651" customFormat="false" ht="15" hidden="false" customHeight="false" outlineLevel="0" collapsed="false">
      <c r="A651" s="27" t="n">
        <v>2024</v>
      </c>
      <c r="B651" s="27" t="n">
        <v>7</v>
      </c>
      <c r="C651" s="27" t="s">
        <v>42</v>
      </c>
      <c r="D651" s="27" t="s">
        <v>24</v>
      </c>
      <c r="E651" s="27" t="s">
        <v>58</v>
      </c>
      <c r="F651" s="28" t="n">
        <v>1069</v>
      </c>
      <c r="G651" s="29" t="n">
        <v>1930</v>
      </c>
      <c r="H651" s="29" t="n">
        <f aca="false">F651*G651</f>
        <v>2063170</v>
      </c>
    </row>
    <row r="652" customFormat="false" ht="15" hidden="false" customHeight="false" outlineLevel="0" collapsed="false">
      <c r="A652" s="27" t="n">
        <v>2024</v>
      </c>
      <c r="B652" s="27" t="n">
        <v>7</v>
      </c>
      <c r="C652" s="27" t="s">
        <v>42</v>
      </c>
      <c r="D652" s="27" t="s">
        <v>26</v>
      </c>
      <c r="E652" s="27" t="s">
        <v>50</v>
      </c>
      <c r="F652" s="28" t="n">
        <v>1348</v>
      </c>
      <c r="G652" s="29" t="n">
        <v>2300</v>
      </c>
      <c r="H652" s="29" t="n">
        <f aca="false">F652*G652</f>
        <v>3100400</v>
      </c>
    </row>
    <row r="653" customFormat="false" ht="15" hidden="false" customHeight="false" outlineLevel="0" collapsed="false">
      <c r="A653" s="27" t="n">
        <v>2024</v>
      </c>
      <c r="B653" s="27" t="n">
        <v>7</v>
      </c>
      <c r="C653" s="27" t="s">
        <v>42</v>
      </c>
      <c r="D653" s="27" t="s">
        <v>26</v>
      </c>
      <c r="E653" s="27" t="s">
        <v>52</v>
      </c>
      <c r="F653" s="28" t="n">
        <v>866</v>
      </c>
      <c r="G653" s="29" t="n">
        <v>2370</v>
      </c>
      <c r="H653" s="29" t="n">
        <f aca="false">F653*G653</f>
        <v>2052420</v>
      </c>
    </row>
    <row r="654" customFormat="false" ht="15" hidden="false" customHeight="false" outlineLevel="0" collapsed="false">
      <c r="A654" s="27" t="n">
        <v>2024</v>
      </c>
      <c r="B654" s="27" t="n">
        <v>7</v>
      </c>
      <c r="C654" s="27" t="s">
        <v>42</v>
      </c>
      <c r="D654" s="27" t="s">
        <v>26</v>
      </c>
      <c r="E654" s="27" t="s">
        <v>54</v>
      </c>
      <c r="F654" s="28" t="n">
        <v>664</v>
      </c>
      <c r="G654" s="29" t="n">
        <v>2290</v>
      </c>
      <c r="H654" s="29" t="n">
        <f aca="false">F654*G654</f>
        <v>1520560</v>
      </c>
    </row>
    <row r="655" customFormat="false" ht="15" hidden="false" customHeight="false" outlineLevel="0" collapsed="false">
      <c r="A655" s="27" t="n">
        <v>2024</v>
      </c>
      <c r="B655" s="27" t="n">
        <v>7</v>
      </c>
      <c r="C655" s="27" t="s">
        <v>42</v>
      </c>
      <c r="D655" s="27" t="s">
        <v>26</v>
      </c>
      <c r="E655" s="27" t="s">
        <v>56</v>
      </c>
      <c r="F655" s="28" t="n">
        <v>758</v>
      </c>
      <c r="G655" s="29" t="n">
        <v>2380</v>
      </c>
      <c r="H655" s="29" t="n">
        <f aca="false">F655*G655</f>
        <v>1804040</v>
      </c>
    </row>
    <row r="656" customFormat="false" ht="15" hidden="false" customHeight="false" outlineLevel="0" collapsed="false">
      <c r="A656" s="27" t="n">
        <v>2024</v>
      </c>
      <c r="B656" s="27" t="n">
        <v>7</v>
      </c>
      <c r="C656" s="27" t="s">
        <v>42</v>
      </c>
      <c r="D656" s="27" t="s">
        <v>26</v>
      </c>
      <c r="E656" s="27" t="s">
        <v>58</v>
      </c>
      <c r="F656" s="28" t="n">
        <v>470</v>
      </c>
      <c r="G656" s="29" t="n">
        <v>2340</v>
      </c>
      <c r="H656" s="29" t="n">
        <f aca="false">F656*G656</f>
        <v>1099800</v>
      </c>
    </row>
    <row r="657" customFormat="false" ht="15" hidden="false" customHeight="false" outlineLevel="0" collapsed="false">
      <c r="A657" s="27" t="n">
        <v>2024</v>
      </c>
      <c r="B657" s="27" t="n">
        <v>7</v>
      </c>
      <c r="C657" s="27" t="s">
        <v>42</v>
      </c>
      <c r="D657" s="27" t="s">
        <v>28</v>
      </c>
      <c r="E657" s="27" t="s">
        <v>50</v>
      </c>
      <c r="F657" s="28" t="n">
        <v>487</v>
      </c>
      <c r="G657" s="29" t="n">
        <v>2220</v>
      </c>
      <c r="H657" s="29" t="n">
        <f aca="false">F657*G657</f>
        <v>1081140</v>
      </c>
    </row>
    <row r="658" customFormat="false" ht="15" hidden="false" customHeight="false" outlineLevel="0" collapsed="false">
      <c r="A658" s="27" t="n">
        <v>2024</v>
      </c>
      <c r="B658" s="27" t="n">
        <v>7</v>
      </c>
      <c r="C658" s="27" t="s">
        <v>42</v>
      </c>
      <c r="D658" s="27" t="s">
        <v>28</v>
      </c>
      <c r="E658" s="27" t="s">
        <v>52</v>
      </c>
      <c r="F658" s="28" t="n">
        <v>312</v>
      </c>
      <c r="G658" s="29" t="n">
        <v>2210</v>
      </c>
      <c r="H658" s="29" t="n">
        <f aca="false">F658*G658</f>
        <v>689520</v>
      </c>
    </row>
    <row r="659" customFormat="false" ht="15" hidden="false" customHeight="false" outlineLevel="0" collapsed="false">
      <c r="A659" s="27" t="n">
        <v>2024</v>
      </c>
      <c r="B659" s="27" t="n">
        <v>7</v>
      </c>
      <c r="C659" s="27" t="s">
        <v>42</v>
      </c>
      <c r="D659" s="27" t="s">
        <v>28</v>
      </c>
      <c r="E659" s="27" t="s">
        <v>54</v>
      </c>
      <c r="F659" s="28" t="n">
        <v>266</v>
      </c>
      <c r="G659" s="29" t="n">
        <v>2250</v>
      </c>
      <c r="H659" s="29" t="n">
        <f aca="false">F659*G659</f>
        <v>598500</v>
      </c>
    </row>
    <row r="660" customFormat="false" ht="15" hidden="false" customHeight="false" outlineLevel="0" collapsed="false">
      <c r="A660" s="27" t="n">
        <v>2024</v>
      </c>
      <c r="B660" s="27" t="n">
        <v>7</v>
      </c>
      <c r="C660" s="27" t="s">
        <v>42</v>
      </c>
      <c r="D660" s="27" t="s">
        <v>28</v>
      </c>
      <c r="E660" s="27" t="s">
        <v>56</v>
      </c>
      <c r="F660" s="28" t="n">
        <v>304</v>
      </c>
      <c r="G660" s="29" t="n">
        <v>2210</v>
      </c>
      <c r="H660" s="29" t="n">
        <f aca="false">F660*G660</f>
        <v>671840</v>
      </c>
    </row>
    <row r="661" customFormat="false" ht="15" hidden="false" customHeight="false" outlineLevel="0" collapsed="false">
      <c r="A661" s="27" t="n">
        <v>2024</v>
      </c>
      <c r="B661" s="27" t="n">
        <v>7</v>
      </c>
      <c r="C661" s="27" t="s">
        <v>42</v>
      </c>
      <c r="D661" s="27" t="s">
        <v>28</v>
      </c>
      <c r="E661" s="27" t="s">
        <v>58</v>
      </c>
      <c r="F661" s="28" t="n">
        <v>194</v>
      </c>
      <c r="G661" s="29" t="n">
        <v>2230</v>
      </c>
      <c r="H661" s="29" t="n">
        <f aca="false">F661*G661</f>
        <v>432620</v>
      </c>
    </row>
    <row r="662" customFormat="false" ht="15" hidden="false" customHeight="false" outlineLevel="0" collapsed="false">
      <c r="A662" s="27" t="n">
        <v>2024</v>
      </c>
      <c r="B662" s="27" t="n">
        <v>7</v>
      </c>
      <c r="C662" s="27" t="s">
        <v>44</v>
      </c>
      <c r="D662" s="27" t="s">
        <v>22</v>
      </c>
      <c r="E662" s="27" t="s">
        <v>50</v>
      </c>
      <c r="F662" s="28" t="n">
        <v>2713</v>
      </c>
      <c r="G662" s="29" t="n">
        <v>3880</v>
      </c>
      <c r="H662" s="29" t="n">
        <f aca="false">F662*G662</f>
        <v>10526440</v>
      </c>
    </row>
    <row r="663" customFormat="false" ht="15" hidden="false" customHeight="false" outlineLevel="0" collapsed="false">
      <c r="A663" s="27" t="n">
        <v>2024</v>
      </c>
      <c r="B663" s="27" t="n">
        <v>7</v>
      </c>
      <c r="C663" s="27" t="s">
        <v>44</v>
      </c>
      <c r="D663" s="27" t="s">
        <v>22</v>
      </c>
      <c r="E663" s="27" t="s">
        <v>52</v>
      </c>
      <c r="F663" s="28" t="n">
        <v>1761</v>
      </c>
      <c r="G663" s="29" t="n">
        <v>3840</v>
      </c>
      <c r="H663" s="29" t="n">
        <f aca="false">F663*G663</f>
        <v>6762240</v>
      </c>
    </row>
    <row r="664" customFormat="false" ht="15" hidden="false" customHeight="false" outlineLevel="0" collapsed="false">
      <c r="A664" s="27" t="n">
        <v>2024</v>
      </c>
      <c r="B664" s="27" t="n">
        <v>7</v>
      </c>
      <c r="C664" s="27" t="s">
        <v>44</v>
      </c>
      <c r="D664" s="27" t="s">
        <v>22</v>
      </c>
      <c r="E664" s="27" t="s">
        <v>54</v>
      </c>
      <c r="F664" s="28" t="n">
        <v>1426</v>
      </c>
      <c r="G664" s="29" t="n">
        <v>3940</v>
      </c>
      <c r="H664" s="29" t="n">
        <f aca="false">F664*G664</f>
        <v>5618440</v>
      </c>
    </row>
    <row r="665" customFormat="false" ht="15" hidden="false" customHeight="false" outlineLevel="0" collapsed="false">
      <c r="A665" s="27" t="n">
        <v>2024</v>
      </c>
      <c r="B665" s="27" t="n">
        <v>7</v>
      </c>
      <c r="C665" s="27" t="s">
        <v>44</v>
      </c>
      <c r="D665" s="27" t="s">
        <v>22</v>
      </c>
      <c r="E665" s="27" t="s">
        <v>56</v>
      </c>
      <c r="F665" s="28" t="n">
        <v>1699</v>
      </c>
      <c r="G665" s="29" t="n">
        <v>3840</v>
      </c>
      <c r="H665" s="29" t="n">
        <f aca="false">F665*G665</f>
        <v>6524160</v>
      </c>
    </row>
    <row r="666" customFormat="false" ht="15" hidden="false" customHeight="false" outlineLevel="0" collapsed="false">
      <c r="A666" s="27" t="n">
        <v>2024</v>
      </c>
      <c r="B666" s="27" t="n">
        <v>7</v>
      </c>
      <c r="C666" s="27" t="s">
        <v>44</v>
      </c>
      <c r="D666" s="27" t="s">
        <v>22</v>
      </c>
      <c r="E666" s="27" t="s">
        <v>58</v>
      </c>
      <c r="F666" s="28" t="n">
        <v>1139</v>
      </c>
      <c r="G666" s="29" t="n">
        <v>3930</v>
      </c>
      <c r="H666" s="29" t="n">
        <f aca="false">F666*G666</f>
        <v>4476270</v>
      </c>
    </row>
    <row r="667" customFormat="false" ht="15" hidden="false" customHeight="false" outlineLevel="0" collapsed="false">
      <c r="A667" s="27" t="n">
        <v>2024</v>
      </c>
      <c r="B667" s="27" t="n">
        <v>7</v>
      </c>
      <c r="C667" s="27" t="s">
        <v>44</v>
      </c>
      <c r="D667" s="27" t="s">
        <v>24</v>
      </c>
      <c r="E667" s="27" t="s">
        <v>50</v>
      </c>
      <c r="F667" s="28" t="n">
        <v>1380</v>
      </c>
      <c r="G667" s="29" t="n">
        <v>3590</v>
      </c>
      <c r="H667" s="29" t="n">
        <f aca="false">F667*G667</f>
        <v>4954200</v>
      </c>
    </row>
    <row r="668" customFormat="false" ht="15" hidden="false" customHeight="false" outlineLevel="0" collapsed="false">
      <c r="A668" s="27" t="n">
        <v>2024</v>
      </c>
      <c r="B668" s="27" t="n">
        <v>7</v>
      </c>
      <c r="C668" s="27" t="s">
        <v>44</v>
      </c>
      <c r="D668" s="27" t="s">
        <v>24</v>
      </c>
      <c r="E668" s="27" t="s">
        <v>52</v>
      </c>
      <c r="F668" s="28" t="n">
        <v>994</v>
      </c>
      <c r="G668" s="29" t="n">
        <v>3640</v>
      </c>
      <c r="H668" s="29" t="n">
        <f aca="false">F668*G668</f>
        <v>3618160</v>
      </c>
    </row>
    <row r="669" customFormat="false" ht="15" hidden="false" customHeight="false" outlineLevel="0" collapsed="false">
      <c r="A669" s="27" t="n">
        <v>2024</v>
      </c>
      <c r="B669" s="27" t="n">
        <v>7</v>
      </c>
      <c r="C669" s="27" t="s">
        <v>44</v>
      </c>
      <c r="D669" s="27" t="s">
        <v>24</v>
      </c>
      <c r="E669" s="27" t="s">
        <v>54</v>
      </c>
      <c r="F669" s="28" t="n">
        <v>777</v>
      </c>
      <c r="G669" s="29" t="n">
        <v>3690</v>
      </c>
      <c r="H669" s="29" t="n">
        <f aca="false">F669*G669</f>
        <v>2867130</v>
      </c>
    </row>
    <row r="670" customFormat="false" ht="15" hidden="false" customHeight="false" outlineLevel="0" collapsed="false">
      <c r="A670" s="27" t="n">
        <v>2024</v>
      </c>
      <c r="B670" s="27" t="n">
        <v>7</v>
      </c>
      <c r="C670" s="27" t="s">
        <v>44</v>
      </c>
      <c r="D670" s="27" t="s">
        <v>24</v>
      </c>
      <c r="E670" s="27" t="s">
        <v>56</v>
      </c>
      <c r="F670" s="28" t="n">
        <v>926</v>
      </c>
      <c r="G670" s="29" t="n">
        <v>3650</v>
      </c>
      <c r="H670" s="29" t="n">
        <f aca="false">F670*G670</f>
        <v>3379900</v>
      </c>
    </row>
    <row r="671" customFormat="false" ht="15" hidden="false" customHeight="false" outlineLevel="0" collapsed="false">
      <c r="A671" s="27" t="n">
        <v>2024</v>
      </c>
      <c r="B671" s="27" t="n">
        <v>7</v>
      </c>
      <c r="C671" s="27" t="s">
        <v>44</v>
      </c>
      <c r="D671" s="27" t="s">
        <v>24</v>
      </c>
      <c r="E671" s="27" t="s">
        <v>58</v>
      </c>
      <c r="F671" s="28" t="n">
        <v>703</v>
      </c>
      <c r="G671" s="29" t="n">
        <v>3620</v>
      </c>
      <c r="H671" s="29" t="n">
        <f aca="false">F671*G671</f>
        <v>2544860</v>
      </c>
    </row>
    <row r="672" customFormat="false" ht="15" hidden="false" customHeight="false" outlineLevel="0" collapsed="false">
      <c r="A672" s="27" t="n">
        <v>2024</v>
      </c>
      <c r="B672" s="27" t="n">
        <v>7</v>
      </c>
      <c r="C672" s="27" t="s">
        <v>44</v>
      </c>
      <c r="D672" s="27" t="s">
        <v>26</v>
      </c>
      <c r="E672" s="27" t="s">
        <v>50</v>
      </c>
      <c r="F672" s="28" t="n">
        <v>704</v>
      </c>
      <c r="G672" s="29" t="n">
        <v>4390</v>
      </c>
      <c r="H672" s="29" t="n">
        <f aca="false">F672*G672</f>
        <v>3090560</v>
      </c>
    </row>
    <row r="673" customFormat="false" ht="15" hidden="false" customHeight="false" outlineLevel="0" collapsed="false">
      <c r="A673" s="27" t="n">
        <v>2024</v>
      </c>
      <c r="B673" s="27" t="n">
        <v>7</v>
      </c>
      <c r="C673" s="27" t="s">
        <v>44</v>
      </c>
      <c r="D673" s="27" t="s">
        <v>26</v>
      </c>
      <c r="E673" s="27" t="s">
        <v>52</v>
      </c>
      <c r="F673" s="28" t="n">
        <v>468</v>
      </c>
      <c r="G673" s="29" t="n">
        <v>4340</v>
      </c>
      <c r="H673" s="29" t="n">
        <f aca="false">F673*G673</f>
        <v>2031120</v>
      </c>
    </row>
    <row r="674" customFormat="false" ht="15" hidden="false" customHeight="false" outlineLevel="0" collapsed="false">
      <c r="A674" s="27" t="n">
        <v>2024</v>
      </c>
      <c r="B674" s="27" t="n">
        <v>7</v>
      </c>
      <c r="C674" s="27" t="s">
        <v>44</v>
      </c>
      <c r="D674" s="27" t="s">
        <v>26</v>
      </c>
      <c r="E674" s="27" t="s">
        <v>54</v>
      </c>
      <c r="F674" s="28" t="n">
        <v>348</v>
      </c>
      <c r="G674" s="29" t="n">
        <v>4470</v>
      </c>
      <c r="H674" s="29" t="n">
        <f aca="false">F674*G674</f>
        <v>1555560</v>
      </c>
    </row>
    <row r="675" customFormat="false" ht="15" hidden="false" customHeight="false" outlineLevel="0" collapsed="false">
      <c r="A675" s="27" t="n">
        <v>2024</v>
      </c>
      <c r="B675" s="27" t="n">
        <v>7</v>
      </c>
      <c r="C675" s="27" t="s">
        <v>44</v>
      </c>
      <c r="D675" s="27" t="s">
        <v>26</v>
      </c>
      <c r="E675" s="27" t="s">
        <v>56</v>
      </c>
      <c r="F675" s="28" t="n">
        <v>443</v>
      </c>
      <c r="G675" s="29" t="n">
        <v>4340</v>
      </c>
      <c r="H675" s="29" t="n">
        <f aca="false">F675*G675</f>
        <v>1922620</v>
      </c>
    </row>
    <row r="676" customFormat="false" ht="15" hidden="false" customHeight="false" outlineLevel="0" collapsed="false">
      <c r="A676" s="27" t="n">
        <v>2024</v>
      </c>
      <c r="B676" s="27" t="n">
        <v>7</v>
      </c>
      <c r="C676" s="27" t="s">
        <v>44</v>
      </c>
      <c r="D676" s="27" t="s">
        <v>26</v>
      </c>
      <c r="E676" s="27" t="s">
        <v>58</v>
      </c>
      <c r="F676" s="28" t="n">
        <v>312</v>
      </c>
      <c r="G676" s="29" t="n">
        <v>4360</v>
      </c>
      <c r="H676" s="29" t="n">
        <f aca="false">F676*G676</f>
        <v>1360320</v>
      </c>
    </row>
    <row r="677" customFormat="false" ht="15" hidden="false" customHeight="false" outlineLevel="0" collapsed="false">
      <c r="A677" s="27" t="n">
        <v>2024</v>
      </c>
      <c r="B677" s="27" t="n">
        <v>7</v>
      </c>
      <c r="C677" s="27" t="s">
        <v>44</v>
      </c>
      <c r="D677" s="27" t="s">
        <v>28</v>
      </c>
      <c r="E677" s="27" t="s">
        <v>50</v>
      </c>
      <c r="F677" s="28" t="n">
        <v>278</v>
      </c>
      <c r="G677" s="29" t="n">
        <v>4120</v>
      </c>
      <c r="H677" s="29" t="n">
        <f aca="false">F677*G677</f>
        <v>1145360</v>
      </c>
    </row>
    <row r="678" customFormat="false" ht="15" hidden="false" customHeight="false" outlineLevel="0" collapsed="false">
      <c r="A678" s="27" t="n">
        <v>2024</v>
      </c>
      <c r="B678" s="27" t="n">
        <v>7</v>
      </c>
      <c r="C678" s="27" t="s">
        <v>44</v>
      </c>
      <c r="D678" s="27" t="s">
        <v>28</v>
      </c>
      <c r="E678" s="27" t="s">
        <v>52</v>
      </c>
      <c r="F678" s="28" t="n">
        <v>165</v>
      </c>
      <c r="G678" s="29" t="n">
        <v>4110</v>
      </c>
      <c r="H678" s="29" t="n">
        <f aca="false">F678*G678</f>
        <v>678150</v>
      </c>
    </row>
    <row r="679" customFormat="false" ht="15" hidden="false" customHeight="false" outlineLevel="0" collapsed="false">
      <c r="A679" s="27" t="n">
        <v>2024</v>
      </c>
      <c r="B679" s="27" t="n">
        <v>7</v>
      </c>
      <c r="C679" s="27" t="s">
        <v>44</v>
      </c>
      <c r="D679" s="27" t="s">
        <v>28</v>
      </c>
      <c r="E679" s="27" t="s">
        <v>54</v>
      </c>
      <c r="F679" s="28" t="n">
        <v>155</v>
      </c>
      <c r="G679" s="29" t="n">
        <v>4110</v>
      </c>
      <c r="H679" s="29" t="n">
        <f aca="false">F679*G679</f>
        <v>637050</v>
      </c>
    </row>
    <row r="680" customFormat="false" ht="15" hidden="false" customHeight="false" outlineLevel="0" collapsed="false">
      <c r="A680" s="27" t="n">
        <v>2024</v>
      </c>
      <c r="B680" s="27" t="n">
        <v>7</v>
      </c>
      <c r="C680" s="27" t="s">
        <v>44</v>
      </c>
      <c r="D680" s="27" t="s">
        <v>28</v>
      </c>
      <c r="E680" s="27" t="s">
        <v>56</v>
      </c>
      <c r="F680" s="28" t="n">
        <v>164</v>
      </c>
      <c r="G680" s="29" t="n">
        <v>4070</v>
      </c>
      <c r="H680" s="29" t="n">
        <f aca="false">F680*G680</f>
        <v>667480</v>
      </c>
    </row>
    <row r="681" customFormat="false" ht="15" hidden="false" customHeight="false" outlineLevel="0" collapsed="false">
      <c r="A681" s="27" t="n">
        <v>2024</v>
      </c>
      <c r="B681" s="27" t="n">
        <v>7</v>
      </c>
      <c r="C681" s="27" t="s">
        <v>44</v>
      </c>
      <c r="D681" s="27" t="s">
        <v>28</v>
      </c>
      <c r="E681" s="27" t="s">
        <v>58</v>
      </c>
      <c r="F681" s="28" t="n">
        <v>112</v>
      </c>
      <c r="G681" s="29" t="n">
        <v>4080</v>
      </c>
      <c r="H681" s="29" t="n">
        <f aca="false">F681*G681</f>
        <v>456960</v>
      </c>
    </row>
    <row r="682" customFormat="false" ht="15" hidden="false" customHeight="false" outlineLevel="0" collapsed="false">
      <c r="A682" s="27" t="n">
        <v>2024</v>
      </c>
      <c r="B682" s="27" t="n">
        <v>7</v>
      </c>
      <c r="C682" s="27" t="s">
        <v>45</v>
      </c>
      <c r="D682" s="27" t="s">
        <v>22</v>
      </c>
      <c r="E682" s="27" t="s">
        <v>50</v>
      </c>
      <c r="F682" s="28" t="n">
        <v>3690</v>
      </c>
      <c r="G682" s="29" t="n">
        <v>2420</v>
      </c>
      <c r="H682" s="29" t="n">
        <f aca="false">F682*G682</f>
        <v>8929800</v>
      </c>
    </row>
    <row r="683" customFormat="false" ht="15" hidden="false" customHeight="false" outlineLevel="0" collapsed="false">
      <c r="A683" s="27" t="n">
        <v>2024</v>
      </c>
      <c r="B683" s="27" t="n">
        <v>7</v>
      </c>
      <c r="C683" s="27" t="s">
        <v>45</v>
      </c>
      <c r="D683" s="27" t="s">
        <v>22</v>
      </c>
      <c r="E683" s="27" t="s">
        <v>52</v>
      </c>
      <c r="F683" s="28" t="n">
        <v>2147</v>
      </c>
      <c r="G683" s="29" t="n">
        <v>2420</v>
      </c>
      <c r="H683" s="29" t="n">
        <f aca="false">F683*G683</f>
        <v>5195740</v>
      </c>
    </row>
    <row r="684" customFormat="false" ht="15" hidden="false" customHeight="false" outlineLevel="0" collapsed="false">
      <c r="A684" s="27" t="n">
        <v>2024</v>
      </c>
      <c r="B684" s="27" t="n">
        <v>7</v>
      </c>
      <c r="C684" s="27" t="s">
        <v>45</v>
      </c>
      <c r="D684" s="27" t="s">
        <v>22</v>
      </c>
      <c r="E684" s="27" t="s">
        <v>54</v>
      </c>
      <c r="F684" s="28" t="n">
        <v>1845</v>
      </c>
      <c r="G684" s="29" t="n">
        <v>2410</v>
      </c>
      <c r="H684" s="29" t="n">
        <f aca="false">F684*G684</f>
        <v>4446450</v>
      </c>
    </row>
    <row r="685" customFormat="false" ht="15" hidden="false" customHeight="false" outlineLevel="0" collapsed="false">
      <c r="A685" s="27" t="n">
        <v>2024</v>
      </c>
      <c r="B685" s="27" t="n">
        <v>7</v>
      </c>
      <c r="C685" s="27" t="s">
        <v>45</v>
      </c>
      <c r="D685" s="27" t="s">
        <v>22</v>
      </c>
      <c r="E685" s="27" t="s">
        <v>56</v>
      </c>
      <c r="F685" s="28" t="n">
        <v>2107</v>
      </c>
      <c r="G685" s="29" t="n">
        <v>2430</v>
      </c>
      <c r="H685" s="29" t="n">
        <f aca="false">F685*G685</f>
        <v>5120010</v>
      </c>
    </row>
    <row r="686" customFormat="false" ht="15" hidden="false" customHeight="false" outlineLevel="0" collapsed="false">
      <c r="A686" s="27" t="n">
        <v>2024</v>
      </c>
      <c r="B686" s="27" t="n">
        <v>7</v>
      </c>
      <c r="C686" s="27" t="s">
        <v>45</v>
      </c>
      <c r="D686" s="27" t="s">
        <v>22</v>
      </c>
      <c r="E686" s="27" t="s">
        <v>58</v>
      </c>
      <c r="F686" s="28" t="n">
        <v>1623</v>
      </c>
      <c r="G686" s="29" t="n">
        <v>2420</v>
      </c>
      <c r="H686" s="29" t="n">
        <f aca="false">F686*G686</f>
        <v>3927660</v>
      </c>
    </row>
    <row r="687" customFormat="false" ht="15" hidden="false" customHeight="false" outlineLevel="0" collapsed="false">
      <c r="A687" s="27" t="n">
        <v>2024</v>
      </c>
      <c r="B687" s="27" t="n">
        <v>7</v>
      </c>
      <c r="C687" s="27" t="s">
        <v>45</v>
      </c>
      <c r="D687" s="27" t="s">
        <v>24</v>
      </c>
      <c r="E687" s="27" t="s">
        <v>50</v>
      </c>
      <c r="F687" s="28" t="n">
        <v>1877</v>
      </c>
      <c r="G687" s="29" t="n">
        <v>2250</v>
      </c>
      <c r="H687" s="29" t="n">
        <f aca="false">F687*G687</f>
        <v>4223250</v>
      </c>
    </row>
    <row r="688" customFormat="false" ht="15" hidden="false" customHeight="false" outlineLevel="0" collapsed="false">
      <c r="A688" s="27" t="n">
        <v>2024</v>
      </c>
      <c r="B688" s="27" t="n">
        <v>7</v>
      </c>
      <c r="C688" s="27" t="s">
        <v>45</v>
      </c>
      <c r="D688" s="27" t="s">
        <v>24</v>
      </c>
      <c r="E688" s="27" t="s">
        <v>52</v>
      </c>
      <c r="F688" s="28" t="n">
        <v>1295</v>
      </c>
      <c r="G688" s="29" t="n">
        <v>2200</v>
      </c>
      <c r="H688" s="29" t="n">
        <f aca="false">F688*G688</f>
        <v>2849000</v>
      </c>
    </row>
    <row r="689" customFormat="false" ht="15" hidden="false" customHeight="false" outlineLevel="0" collapsed="false">
      <c r="A689" s="27" t="n">
        <v>2024</v>
      </c>
      <c r="B689" s="27" t="n">
        <v>7</v>
      </c>
      <c r="C689" s="27" t="s">
        <v>45</v>
      </c>
      <c r="D689" s="27" t="s">
        <v>24</v>
      </c>
      <c r="E689" s="27" t="s">
        <v>54</v>
      </c>
      <c r="F689" s="28" t="n">
        <v>1014</v>
      </c>
      <c r="G689" s="29" t="n">
        <v>2240</v>
      </c>
      <c r="H689" s="29" t="n">
        <f aca="false">F689*G689</f>
        <v>2271360</v>
      </c>
    </row>
    <row r="690" customFormat="false" ht="15" hidden="false" customHeight="false" outlineLevel="0" collapsed="false">
      <c r="A690" s="27" t="n">
        <v>2024</v>
      </c>
      <c r="B690" s="27" t="n">
        <v>7</v>
      </c>
      <c r="C690" s="27" t="s">
        <v>45</v>
      </c>
      <c r="D690" s="27" t="s">
        <v>24</v>
      </c>
      <c r="E690" s="27" t="s">
        <v>56</v>
      </c>
      <c r="F690" s="28" t="n">
        <v>1239</v>
      </c>
      <c r="G690" s="29" t="n">
        <v>2240</v>
      </c>
      <c r="H690" s="29" t="n">
        <f aca="false">F690*G690</f>
        <v>2775360</v>
      </c>
    </row>
    <row r="691" customFormat="false" ht="15" hidden="false" customHeight="false" outlineLevel="0" collapsed="false">
      <c r="A691" s="27" t="n">
        <v>2024</v>
      </c>
      <c r="B691" s="27" t="n">
        <v>7</v>
      </c>
      <c r="C691" s="27" t="s">
        <v>45</v>
      </c>
      <c r="D691" s="27" t="s">
        <v>24</v>
      </c>
      <c r="E691" s="27" t="s">
        <v>58</v>
      </c>
      <c r="F691" s="28" t="n">
        <v>837</v>
      </c>
      <c r="G691" s="29" t="n">
        <v>2260</v>
      </c>
      <c r="H691" s="29" t="n">
        <f aca="false">F691*G691</f>
        <v>1891620</v>
      </c>
    </row>
    <row r="692" customFormat="false" ht="15" hidden="false" customHeight="false" outlineLevel="0" collapsed="false">
      <c r="A692" s="27" t="n">
        <v>2024</v>
      </c>
      <c r="B692" s="27" t="n">
        <v>7</v>
      </c>
      <c r="C692" s="27" t="s">
        <v>45</v>
      </c>
      <c r="D692" s="27" t="s">
        <v>26</v>
      </c>
      <c r="E692" s="27" t="s">
        <v>50</v>
      </c>
      <c r="F692" s="28" t="n">
        <v>1038</v>
      </c>
      <c r="G692" s="29" t="n">
        <v>2610</v>
      </c>
      <c r="H692" s="29" t="n">
        <f aca="false">F692*G692</f>
        <v>2709180</v>
      </c>
    </row>
    <row r="693" customFormat="false" ht="15" hidden="false" customHeight="false" outlineLevel="0" collapsed="false">
      <c r="A693" s="27" t="n">
        <v>2024</v>
      </c>
      <c r="B693" s="27" t="n">
        <v>7</v>
      </c>
      <c r="C693" s="27" t="s">
        <v>45</v>
      </c>
      <c r="D693" s="27" t="s">
        <v>26</v>
      </c>
      <c r="E693" s="27" t="s">
        <v>52</v>
      </c>
      <c r="F693" s="28" t="n">
        <v>601</v>
      </c>
      <c r="G693" s="29" t="n">
        <v>2680</v>
      </c>
      <c r="H693" s="29" t="n">
        <f aca="false">F693*G693</f>
        <v>1610680</v>
      </c>
    </row>
    <row r="694" customFormat="false" ht="15" hidden="false" customHeight="false" outlineLevel="0" collapsed="false">
      <c r="A694" s="27" t="n">
        <v>2024</v>
      </c>
      <c r="B694" s="27" t="n">
        <v>7</v>
      </c>
      <c r="C694" s="27" t="s">
        <v>45</v>
      </c>
      <c r="D694" s="27" t="s">
        <v>26</v>
      </c>
      <c r="E694" s="27" t="s">
        <v>54</v>
      </c>
      <c r="F694" s="28" t="n">
        <v>446</v>
      </c>
      <c r="G694" s="29" t="n">
        <v>2690</v>
      </c>
      <c r="H694" s="29" t="n">
        <f aca="false">F694*G694</f>
        <v>1199740</v>
      </c>
    </row>
    <row r="695" customFormat="false" ht="15" hidden="false" customHeight="false" outlineLevel="0" collapsed="false">
      <c r="A695" s="27" t="n">
        <v>2024</v>
      </c>
      <c r="B695" s="27" t="n">
        <v>7</v>
      </c>
      <c r="C695" s="27" t="s">
        <v>45</v>
      </c>
      <c r="D695" s="27" t="s">
        <v>26</v>
      </c>
      <c r="E695" s="27" t="s">
        <v>56</v>
      </c>
      <c r="F695" s="28" t="n">
        <v>617</v>
      </c>
      <c r="G695" s="29" t="n">
        <v>2660</v>
      </c>
      <c r="H695" s="29" t="n">
        <f aca="false">F695*G695</f>
        <v>1641220</v>
      </c>
    </row>
    <row r="696" customFormat="false" ht="15" hidden="false" customHeight="false" outlineLevel="0" collapsed="false">
      <c r="A696" s="27" t="n">
        <v>2024</v>
      </c>
      <c r="B696" s="27" t="n">
        <v>7</v>
      </c>
      <c r="C696" s="27" t="s">
        <v>45</v>
      </c>
      <c r="D696" s="27" t="s">
        <v>26</v>
      </c>
      <c r="E696" s="27" t="s">
        <v>58</v>
      </c>
      <c r="F696" s="28" t="n">
        <v>404</v>
      </c>
      <c r="G696" s="29" t="n">
        <v>2660</v>
      </c>
      <c r="H696" s="29" t="n">
        <f aca="false">F696*G696</f>
        <v>1074640</v>
      </c>
    </row>
    <row r="697" customFormat="false" ht="15" hidden="false" customHeight="false" outlineLevel="0" collapsed="false">
      <c r="A697" s="27" t="n">
        <v>2024</v>
      </c>
      <c r="B697" s="27" t="n">
        <v>7</v>
      </c>
      <c r="C697" s="27" t="s">
        <v>45</v>
      </c>
      <c r="D697" s="27" t="s">
        <v>28</v>
      </c>
      <c r="E697" s="27" t="s">
        <v>50</v>
      </c>
      <c r="F697" s="28" t="n">
        <v>363</v>
      </c>
      <c r="G697" s="29" t="n">
        <v>2560</v>
      </c>
      <c r="H697" s="29" t="n">
        <f aca="false">F697*G697</f>
        <v>929280</v>
      </c>
    </row>
    <row r="698" customFormat="false" ht="15" hidden="false" customHeight="false" outlineLevel="0" collapsed="false">
      <c r="A698" s="27" t="n">
        <v>2024</v>
      </c>
      <c r="B698" s="27" t="n">
        <v>7</v>
      </c>
      <c r="C698" s="27" t="s">
        <v>45</v>
      </c>
      <c r="D698" s="27" t="s">
        <v>28</v>
      </c>
      <c r="E698" s="27" t="s">
        <v>52</v>
      </c>
      <c r="F698" s="28" t="n">
        <v>229</v>
      </c>
      <c r="G698" s="29" t="n">
        <v>2530</v>
      </c>
      <c r="H698" s="29" t="n">
        <f aca="false">F698*G698</f>
        <v>579370</v>
      </c>
    </row>
    <row r="699" customFormat="false" ht="15" hidden="false" customHeight="false" outlineLevel="0" collapsed="false">
      <c r="A699" s="27" t="n">
        <v>2024</v>
      </c>
      <c r="B699" s="27" t="n">
        <v>7</v>
      </c>
      <c r="C699" s="27" t="s">
        <v>45</v>
      </c>
      <c r="D699" s="27" t="s">
        <v>28</v>
      </c>
      <c r="E699" s="27" t="s">
        <v>54</v>
      </c>
      <c r="F699" s="28" t="n">
        <v>170</v>
      </c>
      <c r="G699" s="29" t="n">
        <v>2570</v>
      </c>
      <c r="H699" s="29" t="n">
        <f aca="false">F699*G699</f>
        <v>436900</v>
      </c>
    </row>
    <row r="700" customFormat="false" ht="15" hidden="false" customHeight="false" outlineLevel="0" collapsed="false">
      <c r="A700" s="27" t="n">
        <v>2024</v>
      </c>
      <c r="B700" s="27" t="n">
        <v>7</v>
      </c>
      <c r="C700" s="27" t="s">
        <v>45</v>
      </c>
      <c r="D700" s="27" t="s">
        <v>28</v>
      </c>
      <c r="E700" s="27" t="s">
        <v>56</v>
      </c>
      <c r="F700" s="28" t="n">
        <v>230</v>
      </c>
      <c r="G700" s="29" t="n">
        <v>2520</v>
      </c>
      <c r="H700" s="29" t="n">
        <f aca="false">F700*G700</f>
        <v>579600</v>
      </c>
    </row>
    <row r="701" customFormat="false" ht="15" hidden="false" customHeight="false" outlineLevel="0" collapsed="false">
      <c r="A701" s="27" t="n">
        <v>2024</v>
      </c>
      <c r="B701" s="27" t="n">
        <v>7</v>
      </c>
      <c r="C701" s="27" t="s">
        <v>45</v>
      </c>
      <c r="D701" s="27" t="s">
        <v>28</v>
      </c>
      <c r="E701" s="27" t="s">
        <v>58</v>
      </c>
      <c r="F701" s="28" t="n">
        <v>157</v>
      </c>
      <c r="G701" s="29" t="n">
        <v>2480</v>
      </c>
      <c r="H701" s="29" t="n">
        <f aca="false">F701*G701</f>
        <v>389360</v>
      </c>
    </row>
    <row r="702" customFormat="false" ht="15" hidden="false" customHeight="false" outlineLevel="0" collapsed="false">
      <c r="A702" s="27" t="n">
        <v>2024</v>
      </c>
      <c r="B702" s="27" t="n">
        <v>8</v>
      </c>
      <c r="C702" s="27" t="s">
        <v>38</v>
      </c>
      <c r="D702" s="27" t="s">
        <v>22</v>
      </c>
      <c r="E702" s="27" t="s">
        <v>50</v>
      </c>
      <c r="F702" s="28" t="n">
        <v>8988</v>
      </c>
      <c r="G702" s="29" t="n">
        <v>2590</v>
      </c>
      <c r="H702" s="29" t="n">
        <f aca="false">F702*G702</f>
        <v>23278920</v>
      </c>
    </row>
    <row r="703" customFormat="false" ht="15" hidden="false" customHeight="false" outlineLevel="0" collapsed="false">
      <c r="A703" s="27" t="n">
        <v>2024</v>
      </c>
      <c r="B703" s="27" t="n">
        <v>8</v>
      </c>
      <c r="C703" s="27" t="s">
        <v>38</v>
      </c>
      <c r="D703" s="27" t="s">
        <v>22</v>
      </c>
      <c r="E703" s="27" t="s">
        <v>52</v>
      </c>
      <c r="F703" s="28" t="n">
        <v>5250</v>
      </c>
      <c r="G703" s="29" t="n">
        <v>2590</v>
      </c>
      <c r="H703" s="29" t="n">
        <f aca="false">F703*G703</f>
        <v>13597500</v>
      </c>
    </row>
    <row r="704" customFormat="false" ht="15" hidden="false" customHeight="false" outlineLevel="0" collapsed="false">
      <c r="A704" s="27" t="n">
        <v>2024</v>
      </c>
      <c r="B704" s="27" t="n">
        <v>8</v>
      </c>
      <c r="C704" s="27" t="s">
        <v>38</v>
      </c>
      <c r="D704" s="27" t="s">
        <v>22</v>
      </c>
      <c r="E704" s="27" t="s">
        <v>54</v>
      </c>
      <c r="F704" s="28" t="n">
        <v>4120</v>
      </c>
      <c r="G704" s="29" t="n">
        <v>2620</v>
      </c>
      <c r="H704" s="29" t="n">
        <f aca="false">F704*G704</f>
        <v>10794400</v>
      </c>
    </row>
    <row r="705" customFormat="false" ht="15" hidden="false" customHeight="false" outlineLevel="0" collapsed="false">
      <c r="A705" s="27" t="n">
        <v>2024</v>
      </c>
      <c r="B705" s="27" t="n">
        <v>8</v>
      </c>
      <c r="C705" s="27" t="s">
        <v>38</v>
      </c>
      <c r="D705" s="27" t="s">
        <v>22</v>
      </c>
      <c r="E705" s="27" t="s">
        <v>56</v>
      </c>
      <c r="F705" s="28" t="n">
        <v>5103</v>
      </c>
      <c r="G705" s="29" t="n">
        <v>2620</v>
      </c>
      <c r="H705" s="29" t="n">
        <f aca="false">F705*G705</f>
        <v>13369860</v>
      </c>
    </row>
    <row r="706" customFormat="false" ht="15" hidden="false" customHeight="false" outlineLevel="0" collapsed="false">
      <c r="A706" s="27" t="n">
        <v>2024</v>
      </c>
      <c r="B706" s="27" t="n">
        <v>8</v>
      </c>
      <c r="C706" s="27" t="s">
        <v>38</v>
      </c>
      <c r="D706" s="27" t="s">
        <v>22</v>
      </c>
      <c r="E706" s="27" t="s">
        <v>58</v>
      </c>
      <c r="F706" s="28" t="n">
        <v>3446</v>
      </c>
      <c r="G706" s="29" t="n">
        <v>2610</v>
      </c>
      <c r="H706" s="29" t="n">
        <f aca="false">F706*G706</f>
        <v>8994060</v>
      </c>
    </row>
    <row r="707" customFormat="false" ht="15" hidden="false" customHeight="false" outlineLevel="0" collapsed="false">
      <c r="A707" s="27" t="n">
        <v>2024</v>
      </c>
      <c r="B707" s="27" t="n">
        <v>8</v>
      </c>
      <c r="C707" s="27" t="s">
        <v>38</v>
      </c>
      <c r="D707" s="27" t="s">
        <v>24</v>
      </c>
      <c r="E707" s="27" t="s">
        <v>50</v>
      </c>
      <c r="F707" s="28" t="n">
        <v>4487</v>
      </c>
      <c r="G707" s="29" t="n">
        <v>2470</v>
      </c>
      <c r="H707" s="29" t="n">
        <f aca="false">F707*G707</f>
        <v>11082890</v>
      </c>
    </row>
    <row r="708" customFormat="false" ht="15" hidden="false" customHeight="false" outlineLevel="0" collapsed="false">
      <c r="A708" s="27" t="n">
        <v>2024</v>
      </c>
      <c r="B708" s="27" t="n">
        <v>8</v>
      </c>
      <c r="C708" s="27" t="s">
        <v>38</v>
      </c>
      <c r="D708" s="27" t="s">
        <v>24</v>
      </c>
      <c r="E708" s="27" t="s">
        <v>52</v>
      </c>
      <c r="F708" s="28" t="n">
        <v>2640</v>
      </c>
      <c r="G708" s="29" t="n">
        <v>2450</v>
      </c>
      <c r="H708" s="29" t="n">
        <f aca="false">F708*G708</f>
        <v>6468000</v>
      </c>
    </row>
    <row r="709" customFormat="false" ht="15" hidden="false" customHeight="false" outlineLevel="0" collapsed="false">
      <c r="A709" s="27" t="n">
        <v>2024</v>
      </c>
      <c r="B709" s="27" t="n">
        <v>8</v>
      </c>
      <c r="C709" s="27" t="s">
        <v>38</v>
      </c>
      <c r="D709" s="27" t="s">
        <v>24</v>
      </c>
      <c r="E709" s="27" t="s">
        <v>54</v>
      </c>
      <c r="F709" s="28" t="n">
        <v>2448</v>
      </c>
      <c r="G709" s="29" t="n">
        <v>2400</v>
      </c>
      <c r="H709" s="29" t="n">
        <f aca="false">F709*G709</f>
        <v>5875200</v>
      </c>
    </row>
    <row r="710" customFormat="false" ht="15" hidden="false" customHeight="false" outlineLevel="0" collapsed="false">
      <c r="A710" s="27" t="n">
        <v>2024</v>
      </c>
      <c r="B710" s="27" t="n">
        <v>8</v>
      </c>
      <c r="C710" s="27" t="s">
        <v>38</v>
      </c>
      <c r="D710" s="27" t="s">
        <v>24</v>
      </c>
      <c r="E710" s="27" t="s">
        <v>56</v>
      </c>
      <c r="F710" s="28" t="n">
        <v>3024</v>
      </c>
      <c r="G710" s="29" t="n">
        <v>2440</v>
      </c>
      <c r="H710" s="29" t="n">
        <f aca="false">F710*G710</f>
        <v>7378560</v>
      </c>
    </row>
    <row r="711" customFormat="false" ht="15" hidden="false" customHeight="false" outlineLevel="0" collapsed="false">
      <c r="A711" s="27" t="n">
        <v>2024</v>
      </c>
      <c r="B711" s="27" t="n">
        <v>8</v>
      </c>
      <c r="C711" s="27" t="s">
        <v>38</v>
      </c>
      <c r="D711" s="27" t="s">
        <v>24</v>
      </c>
      <c r="E711" s="27" t="s">
        <v>58</v>
      </c>
      <c r="F711" s="28" t="n">
        <v>1952</v>
      </c>
      <c r="G711" s="29" t="n">
        <v>2420</v>
      </c>
      <c r="H711" s="29" t="n">
        <f aca="false">F711*G711</f>
        <v>4723840</v>
      </c>
    </row>
    <row r="712" customFormat="false" ht="15" hidden="false" customHeight="false" outlineLevel="0" collapsed="false">
      <c r="A712" s="27" t="n">
        <v>2024</v>
      </c>
      <c r="B712" s="27" t="n">
        <v>8</v>
      </c>
      <c r="C712" s="27" t="s">
        <v>38</v>
      </c>
      <c r="D712" s="27" t="s">
        <v>26</v>
      </c>
      <c r="E712" s="27" t="s">
        <v>50</v>
      </c>
      <c r="F712" s="28" t="n">
        <v>2182</v>
      </c>
      <c r="G712" s="29" t="n">
        <v>2910</v>
      </c>
      <c r="H712" s="29" t="n">
        <f aca="false">F712*G712</f>
        <v>6349620</v>
      </c>
    </row>
    <row r="713" customFormat="false" ht="15" hidden="false" customHeight="false" outlineLevel="0" collapsed="false">
      <c r="A713" s="27" t="n">
        <v>2024</v>
      </c>
      <c r="B713" s="27" t="n">
        <v>8</v>
      </c>
      <c r="C713" s="27" t="s">
        <v>38</v>
      </c>
      <c r="D713" s="27" t="s">
        <v>26</v>
      </c>
      <c r="E713" s="27" t="s">
        <v>52</v>
      </c>
      <c r="F713" s="28" t="n">
        <v>1406</v>
      </c>
      <c r="G713" s="29" t="n">
        <v>2950</v>
      </c>
      <c r="H713" s="29" t="n">
        <f aca="false">F713*G713</f>
        <v>4147700</v>
      </c>
    </row>
    <row r="714" customFormat="false" ht="15" hidden="false" customHeight="false" outlineLevel="0" collapsed="false">
      <c r="A714" s="27" t="n">
        <v>2024</v>
      </c>
      <c r="B714" s="27" t="n">
        <v>8</v>
      </c>
      <c r="C714" s="27" t="s">
        <v>38</v>
      </c>
      <c r="D714" s="27" t="s">
        <v>26</v>
      </c>
      <c r="E714" s="27" t="s">
        <v>54</v>
      </c>
      <c r="F714" s="28" t="n">
        <v>1113</v>
      </c>
      <c r="G714" s="29" t="n">
        <v>2890</v>
      </c>
      <c r="H714" s="29" t="n">
        <f aca="false">F714*G714</f>
        <v>3216570</v>
      </c>
    </row>
    <row r="715" customFormat="false" ht="15" hidden="false" customHeight="false" outlineLevel="0" collapsed="false">
      <c r="A715" s="27" t="n">
        <v>2024</v>
      </c>
      <c r="B715" s="27" t="n">
        <v>8</v>
      </c>
      <c r="C715" s="27" t="s">
        <v>38</v>
      </c>
      <c r="D715" s="27" t="s">
        <v>26</v>
      </c>
      <c r="E715" s="27" t="s">
        <v>56</v>
      </c>
      <c r="F715" s="28" t="n">
        <v>1364</v>
      </c>
      <c r="G715" s="29" t="n">
        <v>2940</v>
      </c>
      <c r="H715" s="29" t="n">
        <f aca="false">F715*G715</f>
        <v>4010160</v>
      </c>
    </row>
    <row r="716" customFormat="false" ht="15" hidden="false" customHeight="false" outlineLevel="0" collapsed="false">
      <c r="A716" s="27" t="n">
        <v>2024</v>
      </c>
      <c r="B716" s="27" t="n">
        <v>8</v>
      </c>
      <c r="C716" s="27" t="s">
        <v>38</v>
      </c>
      <c r="D716" s="27" t="s">
        <v>26</v>
      </c>
      <c r="E716" s="27" t="s">
        <v>58</v>
      </c>
      <c r="F716" s="28" t="n">
        <v>926</v>
      </c>
      <c r="G716" s="29" t="n">
        <v>2930</v>
      </c>
      <c r="H716" s="29" t="n">
        <f aca="false">F716*G716</f>
        <v>2713180</v>
      </c>
    </row>
    <row r="717" customFormat="false" ht="15" hidden="false" customHeight="false" outlineLevel="0" collapsed="false">
      <c r="A717" s="27" t="n">
        <v>2024</v>
      </c>
      <c r="B717" s="27" t="n">
        <v>8</v>
      </c>
      <c r="C717" s="27" t="s">
        <v>38</v>
      </c>
      <c r="D717" s="27" t="s">
        <v>28</v>
      </c>
      <c r="E717" s="27" t="s">
        <v>50</v>
      </c>
      <c r="F717" s="28" t="n">
        <v>837</v>
      </c>
      <c r="G717" s="29" t="n">
        <v>2700</v>
      </c>
      <c r="H717" s="29" t="n">
        <f aca="false">F717*G717</f>
        <v>2259900</v>
      </c>
    </row>
    <row r="718" customFormat="false" ht="15" hidden="false" customHeight="false" outlineLevel="0" collapsed="false">
      <c r="A718" s="27" t="n">
        <v>2024</v>
      </c>
      <c r="B718" s="27" t="n">
        <v>8</v>
      </c>
      <c r="C718" s="27" t="s">
        <v>38</v>
      </c>
      <c r="D718" s="27" t="s">
        <v>28</v>
      </c>
      <c r="E718" s="27" t="s">
        <v>52</v>
      </c>
      <c r="F718" s="28" t="n">
        <v>507</v>
      </c>
      <c r="G718" s="29" t="n">
        <v>2690</v>
      </c>
      <c r="H718" s="29" t="n">
        <f aca="false">F718*G718</f>
        <v>1363830</v>
      </c>
    </row>
    <row r="719" customFormat="false" ht="15" hidden="false" customHeight="false" outlineLevel="0" collapsed="false">
      <c r="A719" s="27" t="n">
        <v>2024</v>
      </c>
      <c r="B719" s="27" t="n">
        <v>8</v>
      </c>
      <c r="C719" s="27" t="s">
        <v>38</v>
      </c>
      <c r="D719" s="27" t="s">
        <v>28</v>
      </c>
      <c r="E719" s="27" t="s">
        <v>54</v>
      </c>
      <c r="F719" s="28" t="n">
        <v>429</v>
      </c>
      <c r="G719" s="29" t="n">
        <v>2730</v>
      </c>
      <c r="H719" s="29" t="n">
        <f aca="false">F719*G719</f>
        <v>1171170</v>
      </c>
    </row>
    <row r="720" customFormat="false" ht="15" hidden="false" customHeight="false" outlineLevel="0" collapsed="false">
      <c r="A720" s="27" t="n">
        <v>2024</v>
      </c>
      <c r="B720" s="27" t="n">
        <v>8</v>
      </c>
      <c r="C720" s="27" t="s">
        <v>38</v>
      </c>
      <c r="D720" s="27" t="s">
        <v>28</v>
      </c>
      <c r="E720" s="27" t="s">
        <v>56</v>
      </c>
      <c r="F720" s="28" t="n">
        <v>493</v>
      </c>
      <c r="G720" s="29" t="n">
        <v>2650</v>
      </c>
      <c r="H720" s="29" t="n">
        <f aca="false">F720*G720</f>
        <v>1306450</v>
      </c>
    </row>
    <row r="721" customFormat="false" ht="15" hidden="false" customHeight="false" outlineLevel="0" collapsed="false">
      <c r="A721" s="27" t="n">
        <v>2024</v>
      </c>
      <c r="B721" s="27" t="n">
        <v>8</v>
      </c>
      <c r="C721" s="27" t="s">
        <v>38</v>
      </c>
      <c r="D721" s="27" t="s">
        <v>28</v>
      </c>
      <c r="E721" s="27" t="s">
        <v>58</v>
      </c>
      <c r="F721" s="28" t="n">
        <v>323</v>
      </c>
      <c r="G721" s="29" t="n">
        <v>2760</v>
      </c>
      <c r="H721" s="29" t="n">
        <f aca="false">F721*G721</f>
        <v>891480</v>
      </c>
    </row>
    <row r="722" customFormat="false" ht="15" hidden="false" customHeight="false" outlineLevel="0" collapsed="false">
      <c r="A722" s="27" t="n">
        <v>2024</v>
      </c>
      <c r="B722" s="27" t="n">
        <v>8</v>
      </c>
      <c r="C722" s="27" t="s">
        <v>40</v>
      </c>
      <c r="D722" s="27" t="s">
        <v>22</v>
      </c>
      <c r="E722" s="27" t="s">
        <v>50</v>
      </c>
      <c r="F722" s="28" t="n">
        <v>5087</v>
      </c>
      <c r="G722" s="29" t="n">
        <v>2310</v>
      </c>
      <c r="H722" s="29" t="n">
        <f aca="false">F722*G722</f>
        <v>11750970</v>
      </c>
    </row>
    <row r="723" customFormat="false" ht="15" hidden="false" customHeight="false" outlineLevel="0" collapsed="false">
      <c r="A723" s="27" t="n">
        <v>2024</v>
      </c>
      <c r="B723" s="27" t="n">
        <v>8</v>
      </c>
      <c r="C723" s="27" t="s">
        <v>40</v>
      </c>
      <c r="D723" s="27" t="s">
        <v>22</v>
      </c>
      <c r="E723" s="27" t="s">
        <v>52</v>
      </c>
      <c r="F723" s="28" t="n">
        <v>3060</v>
      </c>
      <c r="G723" s="29" t="n">
        <v>2330</v>
      </c>
      <c r="H723" s="29" t="n">
        <f aca="false">F723*G723</f>
        <v>7129800</v>
      </c>
    </row>
    <row r="724" customFormat="false" ht="15" hidden="false" customHeight="false" outlineLevel="0" collapsed="false">
      <c r="A724" s="27" t="n">
        <v>2024</v>
      </c>
      <c r="B724" s="27" t="n">
        <v>8</v>
      </c>
      <c r="C724" s="27" t="s">
        <v>40</v>
      </c>
      <c r="D724" s="27" t="s">
        <v>22</v>
      </c>
      <c r="E724" s="27" t="s">
        <v>54</v>
      </c>
      <c r="F724" s="28" t="n">
        <v>2612</v>
      </c>
      <c r="G724" s="29" t="n">
        <v>2310</v>
      </c>
      <c r="H724" s="29" t="n">
        <f aca="false">F724*G724</f>
        <v>6033720</v>
      </c>
    </row>
    <row r="725" customFormat="false" ht="15" hidden="false" customHeight="false" outlineLevel="0" collapsed="false">
      <c r="A725" s="27" t="n">
        <v>2024</v>
      </c>
      <c r="B725" s="27" t="n">
        <v>8</v>
      </c>
      <c r="C725" s="27" t="s">
        <v>40</v>
      </c>
      <c r="D725" s="27" t="s">
        <v>22</v>
      </c>
      <c r="E725" s="27" t="s">
        <v>56</v>
      </c>
      <c r="F725" s="28" t="n">
        <v>3487</v>
      </c>
      <c r="G725" s="29" t="n">
        <v>2330</v>
      </c>
      <c r="H725" s="29" t="n">
        <f aca="false">F725*G725</f>
        <v>8124710</v>
      </c>
    </row>
    <row r="726" customFormat="false" ht="15" hidden="false" customHeight="false" outlineLevel="0" collapsed="false">
      <c r="A726" s="27" t="n">
        <v>2024</v>
      </c>
      <c r="B726" s="27" t="n">
        <v>8</v>
      </c>
      <c r="C726" s="27" t="s">
        <v>40</v>
      </c>
      <c r="D726" s="27" t="s">
        <v>22</v>
      </c>
      <c r="E726" s="27" t="s">
        <v>58</v>
      </c>
      <c r="F726" s="28" t="n">
        <v>2105</v>
      </c>
      <c r="G726" s="29" t="n">
        <v>2290</v>
      </c>
      <c r="H726" s="29" t="n">
        <f aca="false">F726*G726</f>
        <v>4820450</v>
      </c>
    </row>
    <row r="727" customFormat="false" ht="15" hidden="false" customHeight="false" outlineLevel="0" collapsed="false">
      <c r="A727" s="27" t="n">
        <v>2024</v>
      </c>
      <c r="B727" s="27" t="n">
        <v>8</v>
      </c>
      <c r="C727" s="27" t="s">
        <v>40</v>
      </c>
      <c r="D727" s="27" t="s">
        <v>24</v>
      </c>
      <c r="E727" s="27" t="s">
        <v>50</v>
      </c>
      <c r="F727" s="28" t="n">
        <v>2795</v>
      </c>
      <c r="G727" s="29" t="n">
        <v>2150</v>
      </c>
      <c r="H727" s="29" t="n">
        <f aca="false">F727*G727</f>
        <v>6009250</v>
      </c>
    </row>
    <row r="728" customFormat="false" ht="15" hidden="false" customHeight="false" outlineLevel="0" collapsed="false">
      <c r="A728" s="27" t="n">
        <v>2024</v>
      </c>
      <c r="B728" s="27" t="n">
        <v>8</v>
      </c>
      <c r="C728" s="27" t="s">
        <v>40</v>
      </c>
      <c r="D728" s="27" t="s">
        <v>24</v>
      </c>
      <c r="E728" s="27" t="s">
        <v>52</v>
      </c>
      <c r="F728" s="28" t="n">
        <v>1766</v>
      </c>
      <c r="G728" s="29" t="n">
        <v>2130</v>
      </c>
      <c r="H728" s="29" t="n">
        <f aca="false">F728*G728</f>
        <v>3761580</v>
      </c>
    </row>
    <row r="729" customFormat="false" ht="15" hidden="false" customHeight="false" outlineLevel="0" collapsed="false">
      <c r="A729" s="27" t="n">
        <v>2024</v>
      </c>
      <c r="B729" s="27" t="n">
        <v>8</v>
      </c>
      <c r="C729" s="27" t="s">
        <v>40</v>
      </c>
      <c r="D729" s="27" t="s">
        <v>24</v>
      </c>
      <c r="E729" s="27" t="s">
        <v>54</v>
      </c>
      <c r="F729" s="28" t="n">
        <v>1525</v>
      </c>
      <c r="G729" s="29" t="n">
        <v>2140</v>
      </c>
      <c r="H729" s="29" t="n">
        <f aca="false">F729*G729</f>
        <v>3263500</v>
      </c>
    </row>
    <row r="730" customFormat="false" ht="15" hidden="false" customHeight="false" outlineLevel="0" collapsed="false">
      <c r="A730" s="27" t="n">
        <v>2024</v>
      </c>
      <c r="B730" s="27" t="n">
        <v>8</v>
      </c>
      <c r="C730" s="27" t="s">
        <v>40</v>
      </c>
      <c r="D730" s="27" t="s">
        <v>24</v>
      </c>
      <c r="E730" s="27" t="s">
        <v>56</v>
      </c>
      <c r="F730" s="28" t="n">
        <v>1881</v>
      </c>
      <c r="G730" s="29" t="n">
        <v>2140</v>
      </c>
      <c r="H730" s="29" t="n">
        <f aca="false">F730*G730</f>
        <v>4025340</v>
      </c>
    </row>
    <row r="731" customFormat="false" ht="15" hidden="false" customHeight="false" outlineLevel="0" collapsed="false">
      <c r="A731" s="27" t="n">
        <v>2024</v>
      </c>
      <c r="B731" s="27" t="n">
        <v>8</v>
      </c>
      <c r="C731" s="27" t="s">
        <v>40</v>
      </c>
      <c r="D731" s="27" t="s">
        <v>24</v>
      </c>
      <c r="E731" s="27" t="s">
        <v>58</v>
      </c>
      <c r="F731" s="28" t="n">
        <v>1257</v>
      </c>
      <c r="G731" s="29" t="n">
        <v>2150</v>
      </c>
      <c r="H731" s="29" t="n">
        <f aca="false">F731*G731</f>
        <v>2702550</v>
      </c>
    </row>
    <row r="732" customFormat="false" ht="15" hidden="false" customHeight="false" outlineLevel="0" collapsed="false">
      <c r="A732" s="27" t="n">
        <v>2024</v>
      </c>
      <c r="B732" s="27" t="n">
        <v>8</v>
      </c>
      <c r="C732" s="27" t="s">
        <v>40</v>
      </c>
      <c r="D732" s="27" t="s">
        <v>26</v>
      </c>
      <c r="E732" s="27" t="s">
        <v>50</v>
      </c>
      <c r="F732" s="28" t="n">
        <v>1434</v>
      </c>
      <c r="G732" s="29" t="n">
        <v>2560</v>
      </c>
      <c r="H732" s="29" t="n">
        <f aca="false">F732*G732</f>
        <v>3671040</v>
      </c>
    </row>
    <row r="733" customFormat="false" ht="15" hidden="false" customHeight="false" outlineLevel="0" collapsed="false">
      <c r="A733" s="27" t="n">
        <v>2024</v>
      </c>
      <c r="B733" s="27" t="n">
        <v>8</v>
      </c>
      <c r="C733" s="27" t="s">
        <v>40</v>
      </c>
      <c r="D733" s="27" t="s">
        <v>26</v>
      </c>
      <c r="E733" s="27" t="s">
        <v>52</v>
      </c>
      <c r="F733" s="28" t="n">
        <v>819</v>
      </c>
      <c r="G733" s="29" t="n">
        <v>2590</v>
      </c>
      <c r="H733" s="29" t="n">
        <f aca="false">F733*G733</f>
        <v>2121210</v>
      </c>
    </row>
    <row r="734" customFormat="false" ht="15" hidden="false" customHeight="false" outlineLevel="0" collapsed="false">
      <c r="A734" s="27" t="n">
        <v>2024</v>
      </c>
      <c r="B734" s="27" t="n">
        <v>8</v>
      </c>
      <c r="C734" s="27" t="s">
        <v>40</v>
      </c>
      <c r="D734" s="27" t="s">
        <v>26</v>
      </c>
      <c r="E734" s="27" t="s">
        <v>54</v>
      </c>
      <c r="F734" s="28" t="n">
        <v>718</v>
      </c>
      <c r="G734" s="29" t="n">
        <v>2580</v>
      </c>
      <c r="H734" s="29" t="n">
        <f aca="false">F734*G734</f>
        <v>1852440</v>
      </c>
    </row>
    <row r="735" customFormat="false" ht="15" hidden="false" customHeight="false" outlineLevel="0" collapsed="false">
      <c r="A735" s="27" t="n">
        <v>2024</v>
      </c>
      <c r="B735" s="27" t="n">
        <v>8</v>
      </c>
      <c r="C735" s="27" t="s">
        <v>40</v>
      </c>
      <c r="D735" s="27" t="s">
        <v>26</v>
      </c>
      <c r="E735" s="27" t="s">
        <v>56</v>
      </c>
      <c r="F735" s="28" t="n">
        <v>760</v>
      </c>
      <c r="G735" s="29" t="n">
        <v>2540</v>
      </c>
      <c r="H735" s="29" t="n">
        <f aca="false">F735*G735</f>
        <v>1930400</v>
      </c>
    </row>
    <row r="736" customFormat="false" ht="15" hidden="false" customHeight="false" outlineLevel="0" collapsed="false">
      <c r="A736" s="27" t="n">
        <v>2024</v>
      </c>
      <c r="B736" s="27" t="n">
        <v>8</v>
      </c>
      <c r="C736" s="27" t="s">
        <v>40</v>
      </c>
      <c r="D736" s="27" t="s">
        <v>26</v>
      </c>
      <c r="E736" s="27" t="s">
        <v>58</v>
      </c>
      <c r="F736" s="28" t="n">
        <v>516</v>
      </c>
      <c r="G736" s="29" t="n">
        <v>2530</v>
      </c>
      <c r="H736" s="29" t="n">
        <f aca="false">F736*G736</f>
        <v>1305480</v>
      </c>
    </row>
    <row r="737" customFormat="false" ht="15" hidden="false" customHeight="false" outlineLevel="0" collapsed="false">
      <c r="A737" s="27" t="n">
        <v>2024</v>
      </c>
      <c r="B737" s="27" t="n">
        <v>8</v>
      </c>
      <c r="C737" s="27" t="s">
        <v>40</v>
      </c>
      <c r="D737" s="27" t="s">
        <v>28</v>
      </c>
      <c r="E737" s="27" t="s">
        <v>50</v>
      </c>
      <c r="F737" s="28" t="n">
        <v>529</v>
      </c>
      <c r="G737" s="29" t="n">
        <v>2440</v>
      </c>
      <c r="H737" s="29" t="n">
        <f aca="false">F737*G737</f>
        <v>1290760</v>
      </c>
    </row>
    <row r="738" customFormat="false" ht="15" hidden="false" customHeight="false" outlineLevel="0" collapsed="false">
      <c r="A738" s="27" t="n">
        <v>2024</v>
      </c>
      <c r="B738" s="27" t="n">
        <v>8</v>
      </c>
      <c r="C738" s="27" t="s">
        <v>40</v>
      </c>
      <c r="D738" s="27" t="s">
        <v>28</v>
      </c>
      <c r="E738" s="27" t="s">
        <v>52</v>
      </c>
      <c r="F738" s="28" t="n">
        <v>329</v>
      </c>
      <c r="G738" s="29" t="n">
        <v>2360</v>
      </c>
      <c r="H738" s="29" t="n">
        <f aca="false">F738*G738</f>
        <v>776440</v>
      </c>
    </row>
    <row r="739" customFormat="false" ht="15" hidden="false" customHeight="false" outlineLevel="0" collapsed="false">
      <c r="A739" s="27" t="n">
        <v>2024</v>
      </c>
      <c r="B739" s="27" t="n">
        <v>8</v>
      </c>
      <c r="C739" s="27" t="s">
        <v>40</v>
      </c>
      <c r="D739" s="27" t="s">
        <v>28</v>
      </c>
      <c r="E739" s="27" t="s">
        <v>54</v>
      </c>
      <c r="F739" s="28" t="n">
        <v>261</v>
      </c>
      <c r="G739" s="29" t="n">
        <v>2410</v>
      </c>
      <c r="H739" s="29" t="n">
        <f aca="false">F739*G739</f>
        <v>629010</v>
      </c>
    </row>
    <row r="740" customFormat="false" ht="15" hidden="false" customHeight="false" outlineLevel="0" collapsed="false">
      <c r="A740" s="27" t="n">
        <v>2024</v>
      </c>
      <c r="B740" s="27" t="n">
        <v>8</v>
      </c>
      <c r="C740" s="27" t="s">
        <v>40</v>
      </c>
      <c r="D740" s="27" t="s">
        <v>28</v>
      </c>
      <c r="E740" s="27" t="s">
        <v>56</v>
      </c>
      <c r="F740" s="28" t="n">
        <v>345</v>
      </c>
      <c r="G740" s="29" t="n">
        <v>2380</v>
      </c>
      <c r="H740" s="29" t="n">
        <f aca="false">F740*G740</f>
        <v>821100</v>
      </c>
    </row>
    <row r="741" customFormat="false" ht="15" hidden="false" customHeight="false" outlineLevel="0" collapsed="false">
      <c r="A741" s="27" t="n">
        <v>2024</v>
      </c>
      <c r="B741" s="27" t="n">
        <v>8</v>
      </c>
      <c r="C741" s="27" t="s">
        <v>40</v>
      </c>
      <c r="D741" s="27" t="s">
        <v>28</v>
      </c>
      <c r="E741" s="27" t="s">
        <v>58</v>
      </c>
      <c r="F741" s="28" t="n">
        <v>210</v>
      </c>
      <c r="G741" s="29" t="n">
        <v>2460</v>
      </c>
      <c r="H741" s="29" t="n">
        <f aca="false">F741*G741</f>
        <v>516600</v>
      </c>
    </row>
    <row r="742" customFormat="false" ht="15" hidden="false" customHeight="false" outlineLevel="0" collapsed="false">
      <c r="A742" s="27" t="n">
        <v>2024</v>
      </c>
      <c r="B742" s="27" t="n">
        <v>8</v>
      </c>
      <c r="C742" s="27" t="s">
        <v>42</v>
      </c>
      <c r="D742" s="27" t="s">
        <v>22</v>
      </c>
      <c r="E742" s="27" t="s">
        <v>50</v>
      </c>
      <c r="F742" s="28" t="n">
        <v>4773</v>
      </c>
      <c r="G742" s="29" t="n">
        <v>2110</v>
      </c>
      <c r="H742" s="29" t="n">
        <f aca="false">F742*G742</f>
        <v>10071030</v>
      </c>
    </row>
    <row r="743" customFormat="false" ht="15" hidden="false" customHeight="false" outlineLevel="0" collapsed="false">
      <c r="A743" s="27" t="n">
        <v>2024</v>
      </c>
      <c r="B743" s="27" t="n">
        <v>8</v>
      </c>
      <c r="C743" s="27" t="s">
        <v>42</v>
      </c>
      <c r="D743" s="27" t="s">
        <v>22</v>
      </c>
      <c r="E743" s="27" t="s">
        <v>52</v>
      </c>
      <c r="F743" s="28" t="n">
        <v>2934</v>
      </c>
      <c r="G743" s="29" t="n">
        <v>2110</v>
      </c>
      <c r="H743" s="29" t="n">
        <f aca="false">F743*G743</f>
        <v>6190740</v>
      </c>
    </row>
    <row r="744" customFormat="false" ht="15" hidden="false" customHeight="false" outlineLevel="0" collapsed="false">
      <c r="A744" s="27" t="n">
        <v>2024</v>
      </c>
      <c r="B744" s="27" t="n">
        <v>8</v>
      </c>
      <c r="C744" s="27" t="s">
        <v>42</v>
      </c>
      <c r="D744" s="27" t="s">
        <v>22</v>
      </c>
      <c r="E744" s="27" t="s">
        <v>54</v>
      </c>
      <c r="F744" s="28" t="n">
        <v>2424</v>
      </c>
      <c r="G744" s="29" t="n">
        <v>2080</v>
      </c>
      <c r="H744" s="29" t="n">
        <f aca="false">F744*G744</f>
        <v>5041920</v>
      </c>
    </row>
    <row r="745" customFormat="false" ht="15" hidden="false" customHeight="false" outlineLevel="0" collapsed="false">
      <c r="A745" s="27" t="n">
        <v>2024</v>
      </c>
      <c r="B745" s="27" t="n">
        <v>8</v>
      </c>
      <c r="C745" s="27" t="s">
        <v>42</v>
      </c>
      <c r="D745" s="27" t="s">
        <v>22</v>
      </c>
      <c r="E745" s="27" t="s">
        <v>56</v>
      </c>
      <c r="F745" s="28" t="n">
        <v>2893</v>
      </c>
      <c r="G745" s="29" t="n">
        <v>2070</v>
      </c>
      <c r="H745" s="29" t="n">
        <f aca="false">F745*G745</f>
        <v>5988510</v>
      </c>
    </row>
    <row r="746" customFormat="false" ht="15" hidden="false" customHeight="false" outlineLevel="0" collapsed="false">
      <c r="A746" s="27" t="n">
        <v>2024</v>
      </c>
      <c r="B746" s="27" t="n">
        <v>8</v>
      </c>
      <c r="C746" s="27" t="s">
        <v>42</v>
      </c>
      <c r="D746" s="27" t="s">
        <v>22</v>
      </c>
      <c r="E746" s="27" t="s">
        <v>58</v>
      </c>
      <c r="F746" s="28" t="n">
        <v>1927</v>
      </c>
      <c r="G746" s="29" t="n">
        <v>2100</v>
      </c>
      <c r="H746" s="29" t="n">
        <f aca="false">F746*G746</f>
        <v>4046700</v>
      </c>
    </row>
    <row r="747" customFormat="false" ht="15" hidden="false" customHeight="false" outlineLevel="0" collapsed="false">
      <c r="A747" s="27" t="n">
        <v>2024</v>
      </c>
      <c r="B747" s="27" t="n">
        <v>8</v>
      </c>
      <c r="C747" s="27" t="s">
        <v>42</v>
      </c>
      <c r="D747" s="27" t="s">
        <v>24</v>
      </c>
      <c r="E747" s="27" t="s">
        <v>50</v>
      </c>
      <c r="F747" s="28" t="n">
        <v>2443</v>
      </c>
      <c r="G747" s="29" t="n">
        <v>1950</v>
      </c>
      <c r="H747" s="29" t="n">
        <f aca="false">F747*G747</f>
        <v>4763850</v>
      </c>
    </row>
    <row r="748" customFormat="false" ht="15" hidden="false" customHeight="false" outlineLevel="0" collapsed="false">
      <c r="A748" s="27" t="n">
        <v>2024</v>
      </c>
      <c r="B748" s="27" t="n">
        <v>8</v>
      </c>
      <c r="C748" s="27" t="s">
        <v>42</v>
      </c>
      <c r="D748" s="27" t="s">
        <v>24</v>
      </c>
      <c r="E748" s="27" t="s">
        <v>52</v>
      </c>
      <c r="F748" s="28" t="n">
        <v>1526</v>
      </c>
      <c r="G748" s="29" t="n">
        <v>1930</v>
      </c>
      <c r="H748" s="29" t="n">
        <f aca="false">F748*G748</f>
        <v>2945180</v>
      </c>
    </row>
    <row r="749" customFormat="false" ht="15" hidden="false" customHeight="false" outlineLevel="0" collapsed="false">
      <c r="A749" s="27" t="n">
        <v>2024</v>
      </c>
      <c r="B749" s="27" t="n">
        <v>8</v>
      </c>
      <c r="C749" s="27" t="s">
        <v>42</v>
      </c>
      <c r="D749" s="27" t="s">
        <v>24</v>
      </c>
      <c r="E749" s="27" t="s">
        <v>54</v>
      </c>
      <c r="F749" s="28" t="n">
        <v>1238</v>
      </c>
      <c r="G749" s="29" t="n">
        <v>1930</v>
      </c>
      <c r="H749" s="29" t="n">
        <f aca="false">F749*G749</f>
        <v>2389340</v>
      </c>
    </row>
    <row r="750" customFormat="false" ht="15" hidden="false" customHeight="false" outlineLevel="0" collapsed="false">
      <c r="A750" s="27" t="n">
        <v>2024</v>
      </c>
      <c r="B750" s="27" t="n">
        <v>8</v>
      </c>
      <c r="C750" s="27" t="s">
        <v>42</v>
      </c>
      <c r="D750" s="27" t="s">
        <v>24</v>
      </c>
      <c r="E750" s="27" t="s">
        <v>56</v>
      </c>
      <c r="F750" s="28" t="n">
        <v>1521</v>
      </c>
      <c r="G750" s="29" t="n">
        <v>1930</v>
      </c>
      <c r="H750" s="29" t="n">
        <f aca="false">F750*G750</f>
        <v>2935530</v>
      </c>
    </row>
    <row r="751" customFormat="false" ht="15" hidden="false" customHeight="false" outlineLevel="0" collapsed="false">
      <c r="A751" s="27" t="n">
        <v>2024</v>
      </c>
      <c r="B751" s="27" t="n">
        <v>8</v>
      </c>
      <c r="C751" s="27" t="s">
        <v>42</v>
      </c>
      <c r="D751" s="27" t="s">
        <v>24</v>
      </c>
      <c r="E751" s="27" t="s">
        <v>58</v>
      </c>
      <c r="F751" s="28" t="n">
        <v>1060</v>
      </c>
      <c r="G751" s="29" t="n">
        <v>1930</v>
      </c>
      <c r="H751" s="29" t="n">
        <f aca="false">F751*G751</f>
        <v>2045800</v>
      </c>
    </row>
    <row r="752" customFormat="false" ht="15" hidden="false" customHeight="false" outlineLevel="0" collapsed="false">
      <c r="A752" s="27" t="n">
        <v>2024</v>
      </c>
      <c r="B752" s="27" t="n">
        <v>8</v>
      </c>
      <c r="C752" s="27" t="s">
        <v>42</v>
      </c>
      <c r="D752" s="27" t="s">
        <v>26</v>
      </c>
      <c r="E752" s="27" t="s">
        <v>50</v>
      </c>
      <c r="F752" s="28" t="n">
        <v>1179</v>
      </c>
      <c r="G752" s="29" t="n">
        <v>2340</v>
      </c>
      <c r="H752" s="29" t="n">
        <f aca="false">F752*G752</f>
        <v>2758860</v>
      </c>
    </row>
    <row r="753" customFormat="false" ht="15" hidden="false" customHeight="false" outlineLevel="0" collapsed="false">
      <c r="A753" s="27" t="n">
        <v>2024</v>
      </c>
      <c r="B753" s="27" t="n">
        <v>8</v>
      </c>
      <c r="C753" s="27" t="s">
        <v>42</v>
      </c>
      <c r="D753" s="27" t="s">
        <v>26</v>
      </c>
      <c r="E753" s="27" t="s">
        <v>52</v>
      </c>
      <c r="F753" s="28" t="n">
        <v>809</v>
      </c>
      <c r="G753" s="29" t="n">
        <v>2360</v>
      </c>
      <c r="H753" s="29" t="n">
        <f aca="false">F753*G753</f>
        <v>1909240</v>
      </c>
    </row>
    <row r="754" customFormat="false" ht="15" hidden="false" customHeight="false" outlineLevel="0" collapsed="false">
      <c r="A754" s="27" t="n">
        <v>2024</v>
      </c>
      <c r="B754" s="27" t="n">
        <v>8</v>
      </c>
      <c r="C754" s="27" t="s">
        <v>42</v>
      </c>
      <c r="D754" s="27" t="s">
        <v>26</v>
      </c>
      <c r="E754" s="27" t="s">
        <v>54</v>
      </c>
      <c r="F754" s="28" t="n">
        <v>600</v>
      </c>
      <c r="G754" s="29" t="n">
        <v>2360</v>
      </c>
      <c r="H754" s="29" t="n">
        <f aca="false">F754*G754</f>
        <v>1416000</v>
      </c>
    </row>
    <row r="755" customFormat="false" ht="15" hidden="false" customHeight="false" outlineLevel="0" collapsed="false">
      <c r="A755" s="27" t="n">
        <v>2024</v>
      </c>
      <c r="B755" s="27" t="n">
        <v>8</v>
      </c>
      <c r="C755" s="27" t="s">
        <v>42</v>
      </c>
      <c r="D755" s="27" t="s">
        <v>26</v>
      </c>
      <c r="E755" s="27" t="s">
        <v>56</v>
      </c>
      <c r="F755" s="28" t="n">
        <v>645</v>
      </c>
      <c r="G755" s="29" t="n">
        <v>2350</v>
      </c>
      <c r="H755" s="29" t="n">
        <f aca="false">F755*G755</f>
        <v>1515750</v>
      </c>
    </row>
    <row r="756" customFormat="false" ht="15" hidden="false" customHeight="false" outlineLevel="0" collapsed="false">
      <c r="A756" s="27" t="n">
        <v>2024</v>
      </c>
      <c r="B756" s="27" t="n">
        <v>8</v>
      </c>
      <c r="C756" s="27" t="s">
        <v>42</v>
      </c>
      <c r="D756" s="27" t="s">
        <v>26</v>
      </c>
      <c r="E756" s="27" t="s">
        <v>58</v>
      </c>
      <c r="F756" s="28" t="n">
        <v>542</v>
      </c>
      <c r="G756" s="29" t="n">
        <v>2360</v>
      </c>
      <c r="H756" s="29" t="n">
        <f aca="false">F756*G756</f>
        <v>1279120</v>
      </c>
    </row>
    <row r="757" customFormat="false" ht="15" hidden="false" customHeight="false" outlineLevel="0" collapsed="false">
      <c r="A757" s="27" t="n">
        <v>2024</v>
      </c>
      <c r="B757" s="27" t="n">
        <v>8</v>
      </c>
      <c r="C757" s="27" t="s">
        <v>42</v>
      </c>
      <c r="D757" s="27" t="s">
        <v>28</v>
      </c>
      <c r="E757" s="27" t="s">
        <v>50</v>
      </c>
      <c r="F757" s="28" t="n">
        <v>468</v>
      </c>
      <c r="G757" s="29" t="n">
        <v>2220</v>
      </c>
      <c r="H757" s="29" t="n">
        <f aca="false">F757*G757</f>
        <v>1038960</v>
      </c>
    </row>
    <row r="758" customFormat="false" ht="15" hidden="false" customHeight="false" outlineLevel="0" collapsed="false">
      <c r="A758" s="27" t="n">
        <v>2024</v>
      </c>
      <c r="B758" s="27" t="n">
        <v>8</v>
      </c>
      <c r="C758" s="27" t="s">
        <v>42</v>
      </c>
      <c r="D758" s="27" t="s">
        <v>28</v>
      </c>
      <c r="E758" s="27" t="s">
        <v>52</v>
      </c>
      <c r="F758" s="28" t="n">
        <v>305</v>
      </c>
      <c r="G758" s="29" t="n">
        <v>2160</v>
      </c>
      <c r="H758" s="29" t="n">
        <f aca="false">F758*G758</f>
        <v>658800</v>
      </c>
    </row>
    <row r="759" customFormat="false" ht="15" hidden="false" customHeight="false" outlineLevel="0" collapsed="false">
      <c r="A759" s="27" t="n">
        <v>2024</v>
      </c>
      <c r="B759" s="27" t="n">
        <v>8</v>
      </c>
      <c r="C759" s="27" t="s">
        <v>42</v>
      </c>
      <c r="D759" s="27" t="s">
        <v>28</v>
      </c>
      <c r="E759" s="27" t="s">
        <v>54</v>
      </c>
      <c r="F759" s="28" t="n">
        <v>214</v>
      </c>
      <c r="G759" s="29" t="n">
        <v>2210</v>
      </c>
      <c r="H759" s="29" t="n">
        <f aca="false">F759*G759</f>
        <v>472940</v>
      </c>
    </row>
    <row r="760" customFormat="false" ht="15" hidden="false" customHeight="false" outlineLevel="0" collapsed="false">
      <c r="A760" s="27" t="n">
        <v>2024</v>
      </c>
      <c r="B760" s="27" t="n">
        <v>8</v>
      </c>
      <c r="C760" s="27" t="s">
        <v>42</v>
      </c>
      <c r="D760" s="27" t="s">
        <v>28</v>
      </c>
      <c r="E760" s="27" t="s">
        <v>56</v>
      </c>
      <c r="F760" s="28" t="n">
        <v>267</v>
      </c>
      <c r="G760" s="29" t="n">
        <v>2230</v>
      </c>
      <c r="H760" s="29" t="n">
        <f aca="false">F760*G760</f>
        <v>595410</v>
      </c>
    </row>
    <row r="761" customFormat="false" ht="15" hidden="false" customHeight="false" outlineLevel="0" collapsed="false">
      <c r="A761" s="27" t="n">
        <v>2024</v>
      </c>
      <c r="B761" s="27" t="n">
        <v>8</v>
      </c>
      <c r="C761" s="27" t="s">
        <v>42</v>
      </c>
      <c r="D761" s="27" t="s">
        <v>28</v>
      </c>
      <c r="E761" s="27" t="s">
        <v>58</v>
      </c>
      <c r="F761" s="28" t="n">
        <v>187</v>
      </c>
      <c r="G761" s="29" t="n">
        <v>2160</v>
      </c>
      <c r="H761" s="29" t="n">
        <f aca="false">F761*G761</f>
        <v>403920</v>
      </c>
    </row>
    <row r="762" customFormat="false" ht="15" hidden="false" customHeight="false" outlineLevel="0" collapsed="false">
      <c r="A762" s="27" t="n">
        <v>2024</v>
      </c>
      <c r="B762" s="27" t="n">
        <v>8</v>
      </c>
      <c r="C762" s="27" t="s">
        <v>44</v>
      </c>
      <c r="D762" s="27" t="s">
        <v>22</v>
      </c>
      <c r="E762" s="27" t="s">
        <v>50</v>
      </c>
      <c r="F762" s="28" t="n">
        <v>2385</v>
      </c>
      <c r="G762" s="29" t="n">
        <v>3790</v>
      </c>
      <c r="H762" s="29" t="n">
        <f aca="false">F762*G762</f>
        <v>9039150</v>
      </c>
    </row>
    <row r="763" customFormat="false" ht="15" hidden="false" customHeight="false" outlineLevel="0" collapsed="false">
      <c r="A763" s="27" t="n">
        <v>2024</v>
      </c>
      <c r="B763" s="27" t="n">
        <v>8</v>
      </c>
      <c r="C763" s="27" t="s">
        <v>44</v>
      </c>
      <c r="D763" s="27" t="s">
        <v>22</v>
      </c>
      <c r="E763" s="27" t="s">
        <v>52</v>
      </c>
      <c r="F763" s="28" t="n">
        <v>1573</v>
      </c>
      <c r="G763" s="29" t="n">
        <v>3890</v>
      </c>
      <c r="H763" s="29" t="n">
        <f aca="false">F763*G763</f>
        <v>6118970</v>
      </c>
    </row>
    <row r="764" customFormat="false" ht="15" hidden="false" customHeight="false" outlineLevel="0" collapsed="false">
      <c r="A764" s="27" t="n">
        <v>2024</v>
      </c>
      <c r="B764" s="27" t="n">
        <v>8</v>
      </c>
      <c r="C764" s="27" t="s">
        <v>44</v>
      </c>
      <c r="D764" s="27" t="s">
        <v>22</v>
      </c>
      <c r="E764" s="27" t="s">
        <v>54</v>
      </c>
      <c r="F764" s="28" t="n">
        <v>1246</v>
      </c>
      <c r="G764" s="29" t="n">
        <v>3940</v>
      </c>
      <c r="H764" s="29" t="n">
        <f aca="false">F764*G764</f>
        <v>4909240</v>
      </c>
    </row>
    <row r="765" customFormat="false" ht="15" hidden="false" customHeight="false" outlineLevel="0" collapsed="false">
      <c r="A765" s="27" t="n">
        <v>2024</v>
      </c>
      <c r="B765" s="27" t="n">
        <v>8</v>
      </c>
      <c r="C765" s="27" t="s">
        <v>44</v>
      </c>
      <c r="D765" s="27" t="s">
        <v>22</v>
      </c>
      <c r="E765" s="27" t="s">
        <v>56</v>
      </c>
      <c r="F765" s="28" t="n">
        <v>1602</v>
      </c>
      <c r="G765" s="29" t="n">
        <v>3890</v>
      </c>
      <c r="H765" s="29" t="n">
        <f aca="false">F765*G765</f>
        <v>6231780</v>
      </c>
    </row>
    <row r="766" customFormat="false" ht="15" hidden="false" customHeight="false" outlineLevel="0" collapsed="false">
      <c r="A766" s="27" t="n">
        <v>2024</v>
      </c>
      <c r="B766" s="27" t="n">
        <v>8</v>
      </c>
      <c r="C766" s="27" t="s">
        <v>44</v>
      </c>
      <c r="D766" s="27" t="s">
        <v>22</v>
      </c>
      <c r="E766" s="27" t="s">
        <v>58</v>
      </c>
      <c r="F766" s="28" t="n">
        <v>924</v>
      </c>
      <c r="G766" s="29" t="n">
        <v>3920</v>
      </c>
      <c r="H766" s="29" t="n">
        <f aca="false">F766*G766</f>
        <v>3622080</v>
      </c>
    </row>
    <row r="767" customFormat="false" ht="15" hidden="false" customHeight="false" outlineLevel="0" collapsed="false">
      <c r="A767" s="27" t="n">
        <v>2024</v>
      </c>
      <c r="B767" s="27" t="n">
        <v>8</v>
      </c>
      <c r="C767" s="27" t="s">
        <v>44</v>
      </c>
      <c r="D767" s="27" t="s">
        <v>24</v>
      </c>
      <c r="E767" s="27" t="s">
        <v>50</v>
      </c>
      <c r="F767" s="28" t="n">
        <v>1413</v>
      </c>
      <c r="G767" s="29" t="n">
        <v>3640</v>
      </c>
      <c r="H767" s="29" t="n">
        <f aca="false">F767*G767</f>
        <v>5143320</v>
      </c>
    </row>
    <row r="768" customFormat="false" ht="15" hidden="false" customHeight="false" outlineLevel="0" collapsed="false">
      <c r="A768" s="27" t="n">
        <v>2024</v>
      </c>
      <c r="B768" s="27" t="n">
        <v>8</v>
      </c>
      <c r="C768" s="27" t="s">
        <v>44</v>
      </c>
      <c r="D768" s="27" t="s">
        <v>24</v>
      </c>
      <c r="E768" s="27" t="s">
        <v>52</v>
      </c>
      <c r="F768" s="28" t="n">
        <v>901</v>
      </c>
      <c r="G768" s="29" t="n">
        <v>3580</v>
      </c>
      <c r="H768" s="29" t="n">
        <f aca="false">F768*G768</f>
        <v>3225580</v>
      </c>
    </row>
    <row r="769" customFormat="false" ht="15" hidden="false" customHeight="false" outlineLevel="0" collapsed="false">
      <c r="A769" s="27" t="n">
        <v>2024</v>
      </c>
      <c r="B769" s="27" t="n">
        <v>8</v>
      </c>
      <c r="C769" s="27" t="s">
        <v>44</v>
      </c>
      <c r="D769" s="27" t="s">
        <v>24</v>
      </c>
      <c r="E769" s="27" t="s">
        <v>54</v>
      </c>
      <c r="F769" s="28" t="n">
        <v>756</v>
      </c>
      <c r="G769" s="29" t="n">
        <v>3590</v>
      </c>
      <c r="H769" s="29" t="n">
        <f aca="false">F769*G769</f>
        <v>2714040</v>
      </c>
    </row>
    <row r="770" customFormat="false" ht="15" hidden="false" customHeight="false" outlineLevel="0" collapsed="false">
      <c r="A770" s="27" t="n">
        <v>2024</v>
      </c>
      <c r="B770" s="27" t="n">
        <v>8</v>
      </c>
      <c r="C770" s="27" t="s">
        <v>44</v>
      </c>
      <c r="D770" s="27" t="s">
        <v>24</v>
      </c>
      <c r="E770" s="27" t="s">
        <v>56</v>
      </c>
      <c r="F770" s="28" t="n">
        <v>847</v>
      </c>
      <c r="G770" s="29" t="n">
        <v>3570</v>
      </c>
      <c r="H770" s="29" t="n">
        <f aca="false">F770*G770</f>
        <v>3023790</v>
      </c>
    </row>
    <row r="771" customFormat="false" ht="15" hidden="false" customHeight="false" outlineLevel="0" collapsed="false">
      <c r="A771" s="27" t="n">
        <v>2024</v>
      </c>
      <c r="B771" s="27" t="n">
        <v>8</v>
      </c>
      <c r="C771" s="27" t="s">
        <v>44</v>
      </c>
      <c r="D771" s="27" t="s">
        <v>24</v>
      </c>
      <c r="E771" s="27" t="s">
        <v>58</v>
      </c>
      <c r="F771" s="28" t="n">
        <v>533</v>
      </c>
      <c r="G771" s="29" t="n">
        <v>3680</v>
      </c>
      <c r="H771" s="29" t="n">
        <f aca="false">F771*G771</f>
        <v>1961440</v>
      </c>
    </row>
    <row r="772" customFormat="false" ht="15" hidden="false" customHeight="false" outlineLevel="0" collapsed="false">
      <c r="A772" s="27" t="n">
        <v>2024</v>
      </c>
      <c r="B772" s="27" t="n">
        <v>8</v>
      </c>
      <c r="C772" s="27" t="s">
        <v>44</v>
      </c>
      <c r="D772" s="27" t="s">
        <v>26</v>
      </c>
      <c r="E772" s="27" t="s">
        <v>50</v>
      </c>
      <c r="F772" s="28" t="n">
        <v>653</v>
      </c>
      <c r="G772" s="29" t="n">
        <v>4400</v>
      </c>
      <c r="H772" s="29" t="n">
        <f aca="false">F772*G772</f>
        <v>2873200</v>
      </c>
    </row>
    <row r="773" customFormat="false" ht="15" hidden="false" customHeight="false" outlineLevel="0" collapsed="false">
      <c r="A773" s="27" t="n">
        <v>2024</v>
      </c>
      <c r="B773" s="27" t="n">
        <v>8</v>
      </c>
      <c r="C773" s="27" t="s">
        <v>44</v>
      </c>
      <c r="D773" s="27" t="s">
        <v>26</v>
      </c>
      <c r="E773" s="27" t="s">
        <v>52</v>
      </c>
      <c r="F773" s="28" t="n">
        <v>419</v>
      </c>
      <c r="G773" s="29" t="n">
        <v>4360</v>
      </c>
      <c r="H773" s="29" t="n">
        <f aca="false">F773*G773</f>
        <v>1826840</v>
      </c>
    </row>
    <row r="774" customFormat="false" ht="15" hidden="false" customHeight="false" outlineLevel="0" collapsed="false">
      <c r="A774" s="27" t="n">
        <v>2024</v>
      </c>
      <c r="B774" s="27" t="n">
        <v>8</v>
      </c>
      <c r="C774" s="27" t="s">
        <v>44</v>
      </c>
      <c r="D774" s="27" t="s">
        <v>26</v>
      </c>
      <c r="E774" s="27" t="s">
        <v>54</v>
      </c>
      <c r="F774" s="28" t="n">
        <v>354</v>
      </c>
      <c r="G774" s="29" t="n">
        <v>4360</v>
      </c>
      <c r="H774" s="29" t="n">
        <f aca="false">F774*G774</f>
        <v>1543440</v>
      </c>
    </row>
    <row r="775" customFormat="false" ht="15" hidden="false" customHeight="false" outlineLevel="0" collapsed="false">
      <c r="A775" s="27" t="n">
        <v>2024</v>
      </c>
      <c r="B775" s="27" t="n">
        <v>8</v>
      </c>
      <c r="C775" s="27" t="s">
        <v>44</v>
      </c>
      <c r="D775" s="27" t="s">
        <v>26</v>
      </c>
      <c r="E775" s="27" t="s">
        <v>56</v>
      </c>
      <c r="F775" s="28" t="n">
        <v>358</v>
      </c>
      <c r="G775" s="29" t="n">
        <v>4330</v>
      </c>
      <c r="H775" s="29" t="n">
        <f aca="false">F775*G775</f>
        <v>1550140</v>
      </c>
    </row>
    <row r="776" customFormat="false" ht="15" hidden="false" customHeight="false" outlineLevel="0" collapsed="false">
      <c r="A776" s="27" t="n">
        <v>2024</v>
      </c>
      <c r="B776" s="27" t="n">
        <v>8</v>
      </c>
      <c r="C776" s="27" t="s">
        <v>44</v>
      </c>
      <c r="D776" s="27" t="s">
        <v>26</v>
      </c>
      <c r="E776" s="27" t="s">
        <v>58</v>
      </c>
      <c r="F776" s="28" t="n">
        <v>276</v>
      </c>
      <c r="G776" s="29" t="n">
        <v>4390</v>
      </c>
      <c r="H776" s="29" t="n">
        <f aca="false">F776*G776</f>
        <v>1211640</v>
      </c>
    </row>
    <row r="777" customFormat="false" ht="15" hidden="false" customHeight="false" outlineLevel="0" collapsed="false">
      <c r="A777" s="27" t="n">
        <v>2024</v>
      </c>
      <c r="B777" s="27" t="n">
        <v>8</v>
      </c>
      <c r="C777" s="27" t="s">
        <v>44</v>
      </c>
      <c r="D777" s="27" t="s">
        <v>28</v>
      </c>
      <c r="E777" s="27" t="s">
        <v>50</v>
      </c>
      <c r="F777" s="28" t="n">
        <v>235</v>
      </c>
      <c r="G777" s="29" t="n">
        <v>4070</v>
      </c>
      <c r="H777" s="29" t="n">
        <f aca="false">F777*G777</f>
        <v>956450</v>
      </c>
    </row>
    <row r="778" customFormat="false" ht="15" hidden="false" customHeight="false" outlineLevel="0" collapsed="false">
      <c r="A778" s="27" t="n">
        <v>2024</v>
      </c>
      <c r="B778" s="27" t="n">
        <v>8</v>
      </c>
      <c r="C778" s="27" t="s">
        <v>44</v>
      </c>
      <c r="D778" s="27" t="s">
        <v>28</v>
      </c>
      <c r="E778" s="27" t="s">
        <v>52</v>
      </c>
      <c r="F778" s="28" t="n">
        <v>154</v>
      </c>
      <c r="G778" s="29" t="n">
        <v>4080</v>
      </c>
      <c r="H778" s="29" t="n">
        <f aca="false">F778*G778</f>
        <v>628320</v>
      </c>
    </row>
    <row r="779" customFormat="false" ht="15" hidden="false" customHeight="false" outlineLevel="0" collapsed="false">
      <c r="A779" s="27" t="n">
        <v>2024</v>
      </c>
      <c r="B779" s="27" t="n">
        <v>8</v>
      </c>
      <c r="C779" s="27" t="s">
        <v>44</v>
      </c>
      <c r="D779" s="27" t="s">
        <v>28</v>
      </c>
      <c r="E779" s="27" t="s">
        <v>54</v>
      </c>
      <c r="F779" s="28" t="n">
        <v>119</v>
      </c>
      <c r="G779" s="29" t="n">
        <v>4070</v>
      </c>
      <c r="H779" s="29" t="n">
        <f aca="false">F779*G779</f>
        <v>484330</v>
      </c>
    </row>
    <row r="780" customFormat="false" ht="15" hidden="false" customHeight="false" outlineLevel="0" collapsed="false">
      <c r="A780" s="27" t="n">
        <v>2024</v>
      </c>
      <c r="B780" s="27" t="n">
        <v>8</v>
      </c>
      <c r="C780" s="27" t="s">
        <v>44</v>
      </c>
      <c r="D780" s="27" t="s">
        <v>28</v>
      </c>
      <c r="E780" s="27" t="s">
        <v>56</v>
      </c>
      <c r="F780" s="28" t="n">
        <v>146</v>
      </c>
      <c r="G780" s="29" t="n">
        <v>4130</v>
      </c>
      <c r="H780" s="29" t="n">
        <f aca="false">F780*G780</f>
        <v>602980</v>
      </c>
    </row>
    <row r="781" customFormat="false" ht="15" hidden="false" customHeight="false" outlineLevel="0" collapsed="false">
      <c r="A781" s="27" t="n">
        <v>2024</v>
      </c>
      <c r="B781" s="27" t="n">
        <v>8</v>
      </c>
      <c r="C781" s="27" t="s">
        <v>44</v>
      </c>
      <c r="D781" s="27" t="s">
        <v>28</v>
      </c>
      <c r="E781" s="27" t="s">
        <v>58</v>
      </c>
      <c r="F781" s="28" t="n">
        <v>108</v>
      </c>
      <c r="G781" s="29" t="n">
        <v>4090</v>
      </c>
      <c r="H781" s="29" t="n">
        <f aca="false">F781*G781</f>
        <v>441720</v>
      </c>
    </row>
    <row r="782" customFormat="false" ht="15" hidden="false" customHeight="false" outlineLevel="0" collapsed="false">
      <c r="A782" s="27" t="n">
        <v>2024</v>
      </c>
      <c r="B782" s="27" t="n">
        <v>8</v>
      </c>
      <c r="C782" s="27" t="s">
        <v>45</v>
      </c>
      <c r="D782" s="27" t="s">
        <v>22</v>
      </c>
      <c r="E782" s="27" t="s">
        <v>50</v>
      </c>
      <c r="F782" s="28" t="n">
        <v>3328</v>
      </c>
      <c r="G782" s="29" t="n">
        <v>2400</v>
      </c>
      <c r="H782" s="29" t="n">
        <f aca="false">F782*G782</f>
        <v>7987200</v>
      </c>
    </row>
    <row r="783" customFormat="false" ht="15" hidden="false" customHeight="false" outlineLevel="0" collapsed="false">
      <c r="A783" s="27" t="n">
        <v>2024</v>
      </c>
      <c r="B783" s="27" t="n">
        <v>8</v>
      </c>
      <c r="C783" s="27" t="s">
        <v>45</v>
      </c>
      <c r="D783" s="27" t="s">
        <v>22</v>
      </c>
      <c r="E783" s="27" t="s">
        <v>52</v>
      </c>
      <c r="F783" s="28" t="n">
        <v>2035</v>
      </c>
      <c r="G783" s="29" t="n">
        <v>2370</v>
      </c>
      <c r="H783" s="29" t="n">
        <f aca="false">F783*G783</f>
        <v>4822950</v>
      </c>
    </row>
    <row r="784" customFormat="false" ht="15" hidden="false" customHeight="false" outlineLevel="0" collapsed="false">
      <c r="A784" s="27" t="n">
        <v>2024</v>
      </c>
      <c r="B784" s="27" t="n">
        <v>8</v>
      </c>
      <c r="C784" s="27" t="s">
        <v>45</v>
      </c>
      <c r="D784" s="27" t="s">
        <v>22</v>
      </c>
      <c r="E784" s="27" t="s">
        <v>54</v>
      </c>
      <c r="F784" s="28" t="n">
        <v>1617</v>
      </c>
      <c r="G784" s="29" t="n">
        <v>2380</v>
      </c>
      <c r="H784" s="29" t="n">
        <f aca="false">F784*G784</f>
        <v>3848460</v>
      </c>
    </row>
    <row r="785" customFormat="false" ht="15" hidden="false" customHeight="false" outlineLevel="0" collapsed="false">
      <c r="A785" s="27" t="n">
        <v>2024</v>
      </c>
      <c r="B785" s="27" t="n">
        <v>8</v>
      </c>
      <c r="C785" s="27" t="s">
        <v>45</v>
      </c>
      <c r="D785" s="27" t="s">
        <v>22</v>
      </c>
      <c r="E785" s="27" t="s">
        <v>56</v>
      </c>
      <c r="F785" s="28" t="n">
        <v>1898</v>
      </c>
      <c r="G785" s="29" t="n">
        <v>2400</v>
      </c>
      <c r="H785" s="29" t="n">
        <f aca="false">F785*G785</f>
        <v>4555200</v>
      </c>
    </row>
    <row r="786" customFormat="false" ht="15" hidden="false" customHeight="false" outlineLevel="0" collapsed="false">
      <c r="A786" s="27" t="n">
        <v>2024</v>
      </c>
      <c r="B786" s="27" t="n">
        <v>8</v>
      </c>
      <c r="C786" s="27" t="s">
        <v>45</v>
      </c>
      <c r="D786" s="27" t="s">
        <v>22</v>
      </c>
      <c r="E786" s="27" t="s">
        <v>58</v>
      </c>
      <c r="F786" s="28" t="n">
        <v>1429</v>
      </c>
      <c r="G786" s="29" t="n">
        <v>2360</v>
      </c>
      <c r="H786" s="29" t="n">
        <f aca="false">F786*G786</f>
        <v>3372440</v>
      </c>
    </row>
    <row r="787" customFormat="false" ht="15" hidden="false" customHeight="false" outlineLevel="0" collapsed="false">
      <c r="A787" s="27" t="n">
        <v>2024</v>
      </c>
      <c r="B787" s="27" t="n">
        <v>8</v>
      </c>
      <c r="C787" s="27" t="s">
        <v>45</v>
      </c>
      <c r="D787" s="27" t="s">
        <v>24</v>
      </c>
      <c r="E787" s="27" t="s">
        <v>50</v>
      </c>
      <c r="F787" s="28" t="n">
        <v>1835</v>
      </c>
      <c r="G787" s="29" t="n">
        <v>2230</v>
      </c>
      <c r="H787" s="29" t="n">
        <f aca="false">F787*G787</f>
        <v>4092050</v>
      </c>
    </row>
    <row r="788" customFormat="false" ht="15" hidden="false" customHeight="false" outlineLevel="0" collapsed="false">
      <c r="A788" s="27" t="n">
        <v>2024</v>
      </c>
      <c r="B788" s="27" t="n">
        <v>8</v>
      </c>
      <c r="C788" s="27" t="s">
        <v>45</v>
      </c>
      <c r="D788" s="27" t="s">
        <v>24</v>
      </c>
      <c r="E788" s="27" t="s">
        <v>52</v>
      </c>
      <c r="F788" s="28" t="n">
        <v>1165</v>
      </c>
      <c r="G788" s="29" t="n">
        <v>2230</v>
      </c>
      <c r="H788" s="29" t="n">
        <f aca="false">F788*G788</f>
        <v>2597950</v>
      </c>
    </row>
    <row r="789" customFormat="false" ht="15" hidden="false" customHeight="false" outlineLevel="0" collapsed="false">
      <c r="A789" s="27" t="n">
        <v>2024</v>
      </c>
      <c r="B789" s="27" t="n">
        <v>8</v>
      </c>
      <c r="C789" s="27" t="s">
        <v>45</v>
      </c>
      <c r="D789" s="27" t="s">
        <v>24</v>
      </c>
      <c r="E789" s="27" t="s">
        <v>54</v>
      </c>
      <c r="F789" s="28" t="n">
        <v>850</v>
      </c>
      <c r="G789" s="29" t="n">
        <v>2200</v>
      </c>
      <c r="H789" s="29" t="n">
        <f aca="false">F789*G789</f>
        <v>1870000</v>
      </c>
    </row>
    <row r="790" customFormat="false" ht="15" hidden="false" customHeight="false" outlineLevel="0" collapsed="false">
      <c r="A790" s="27" t="n">
        <v>2024</v>
      </c>
      <c r="B790" s="27" t="n">
        <v>8</v>
      </c>
      <c r="C790" s="27" t="s">
        <v>45</v>
      </c>
      <c r="D790" s="27" t="s">
        <v>24</v>
      </c>
      <c r="E790" s="27" t="s">
        <v>56</v>
      </c>
      <c r="F790" s="28" t="n">
        <v>1090</v>
      </c>
      <c r="G790" s="29" t="n">
        <v>2250</v>
      </c>
      <c r="H790" s="29" t="n">
        <f aca="false">F790*G790</f>
        <v>2452500</v>
      </c>
    </row>
    <row r="791" customFormat="false" ht="15" hidden="false" customHeight="false" outlineLevel="0" collapsed="false">
      <c r="A791" s="27" t="n">
        <v>2024</v>
      </c>
      <c r="B791" s="27" t="n">
        <v>8</v>
      </c>
      <c r="C791" s="27" t="s">
        <v>45</v>
      </c>
      <c r="D791" s="27" t="s">
        <v>24</v>
      </c>
      <c r="E791" s="27" t="s">
        <v>58</v>
      </c>
      <c r="F791" s="28" t="n">
        <v>662</v>
      </c>
      <c r="G791" s="29" t="n">
        <v>2240</v>
      </c>
      <c r="H791" s="29" t="n">
        <f aca="false">F791*G791</f>
        <v>1482880</v>
      </c>
    </row>
    <row r="792" customFormat="false" ht="15" hidden="false" customHeight="false" outlineLevel="0" collapsed="false">
      <c r="A792" s="27" t="n">
        <v>2024</v>
      </c>
      <c r="B792" s="27" t="n">
        <v>8</v>
      </c>
      <c r="C792" s="27" t="s">
        <v>45</v>
      </c>
      <c r="D792" s="27" t="s">
        <v>26</v>
      </c>
      <c r="E792" s="27" t="s">
        <v>50</v>
      </c>
      <c r="F792" s="28" t="n">
        <v>935</v>
      </c>
      <c r="G792" s="29" t="n">
        <v>2680</v>
      </c>
      <c r="H792" s="29" t="n">
        <f aca="false">F792*G792</f>
        <v>2505800</v>
      </c>
    </row>
    <row r="793" customFormat="false" ht="15" hidden="false" customHeight="false" outlineLevel="0" collapsed="false">
      <c r="A793" s="27" t="n">
        <v>2024</v>
      </c>
      <c r="B793" s="27" t="n">
        <v>8</v>
      </c>
      <c r="C793" s="27" t="s">
        <v>45</v>
      </c>
      <c r="D793" s="27" t="s">
        <v>26</v>
      </c>
      <c r="E793" s="27" t="s">
        <v>52</v>
      </c>
      <c r="F793" s="28" t="n">
        <v>567</v>
      </c>
      <c r="G793" s="29" t="n">
        <v>2670</v>
      </c>
      <c r="H793" s="29" t="n">
        <f aca="false">F793*G793</f>
        <v>1513890</v>
      </c>
    </row>
    <row r="794" customFormat="false" ht="15" hidden="false" customHeight="false" outlineLevel="0" collapsed="false">
      <c r="A794" s="27" t="n">
        <v>2024</v>
      </c>
      <c r="B794" s="27" t="n">
        <v>8</v>
      </c>
      <c r="C794" s="27" t="s">
        <v>45</v>
      </c>
      <c r="D794" s="27" t="s">
        <v>26</v>
      </c>
      <c r="E794" s="27" t="s">
        <v>54</v>
      </c>
      <c r="F794" s="28" t="n">
        <v>439</v>
      </c>
      <c r="G794" s="29" t="n">
        <v>2640</v>
      </c>
      <c r="H794" s="29" t="n">
        <f aca="false">F794*G794</f>
        <v>1158960</v>
      </c>
    </row>
    <row r="795" customFormat="false" ht="15" hidden="false" customHeight="false" outlineLevel="0" collapsed="false">
      <c r="A795" s="27" t="n">
        <v>2024</v>
      </c>
      <c r="B795" s="27" t="n">
        <v>8</v>
      </c>
      <c r="C795" s="27" t="s">
        <v>45</v>
      </c>
      <c r="D795" s="27" t="s">
        <v>26</v>
      </c>
      <c r="E795" s="27" t="s">
        <v>56</v>
      </c>
      <c r="F795" s="28" t="n">
        <v>463</v>
      </c>
      <c r="G795" s="29" t="n">
        <v>2710</v>
      </c>
      <c r="H795" s="29" t="n">
        <f aca="false">F795*G795</f>
        <v>1254730</v>
      </c>
    </row>
    <row r="796" customFormat="false" ht="15" hidden="false" customHeight="false" outlineLevel="0" collapsed="false">
      <c r="A796" s="27" t="n">
        <v>2024</v>
      </c>
      <c r="B796" s="27" t="n">
        <v>8</v>
      </c>
      <c r="C796" s="27" t="s">
        <v>45</v>
      </c>
      <c r="D796" s="27" t="s">
        <v>26</v>
      </c>
      <c r="E796" s="27" t="s">
        <v>58</v>
      </c>
      <c r="F796" s="28" t="n">
        <v>341</v>
      </c>
      <c r="G796" s="29" t="n">
        <v>2680</v>
      </c>
      <c r="H796" s="29" t="n">
        <f aca="false">F796*G796</f>
        <v>913880</v>
      </c>
    </row>
    <row r="797" customFormat="false" ht="15" hidden="false" customHeight="false" outlineLevel="0" collapsed="false">
      <c r="A797" s="27" t="n">
        <v>2024</v>
      </c>
      <c r="B797" s="27" t="n">
        <v>8</v>
      </c>
      <c r="C797" s="27" t="s">
        <v>45</v>
      </c>
      <c r="D797" s="27" t="s">
        <v>28</v>
      </c>
      <c r="E797" s="27" t="s">
        <v>50</v>
      </c>
      <c r="F797" s="28" t="n">
        <v>316</v>
      </c>
      <c r="G797" s="29" t="n">
        <v>2480</v>
      </c>
      <c r="H797" s="29" t="n">
        <f aca="false">F797*G797</f>
        <v>783680</v>
      </c>
    </row>
    <row r="798" customFormat="false" ht="15" hidden="false" customHeight="false" outlineLevel="0" collapsed="false">
      <c r="A798" s="27" t="n">
        <v>2024</v>
      </c>
      <c r="B798" s="27" t="n">
        <v>8</v>
      </c>
      <c r="C798" s="27" t="s">
        <v>45</v>
      </c>
      <c r="D798" s="27" t="s">
        <v>28</v>
      </c>
      <c r="E798" s="27" t="s">
        <v>52</v>
      </c>
      <c r="F798" s="28" t="n">
        <v>210</v>
      </c>
      <c r="G798" s="29" t="n">
        <v>2500</v>
      </c>
      <c r="H798" s="29" t="n">
        <f aca="false">F798*G798</f>
        <v>525000</v>
      </c>
    </row>
    <row r="799" customFormat="false" ht="15" hidden="false" customHeight="false" outlineLevel="0" collapsed="false">
      <c r="A799" s="27" t="n">
        <v>2024</v>
      </c>
      <c r="B799" s="27" t="n">
        <v>8</v>
      </c>
      <c r="C799" s="27" t="s">
        <v>45</v>
      </c>
      <c r="D799" s="27" t="s">
        <v>28</v>
      </c>
      <c r="E799" s="27" t="s">
        <v>54</v>
      </c>
      <c r="F799" s="28" t="n">
        <v>173</v>
      </c>
      <c r="G799" s="29" t="n">
        <v>2530</v>
      </c>
      <c r="H799" s="29" t="n">
        <f aca="false">F799*G799</f>
        <v>437690</v>
      </c>
    </row>
    <row r="800" customFormat="false" ht="15" hidden="false" customHeight="false" outlineLevel="0" collapsed="false">
      <c r="A800" s="27" t="n">
        <v>2024</v>
      </c>
      <c r="B800" s="27" t="n">
        <v>8</v>
      </c>
      <c r="C800" s="27" t="s">
        <v>45</v>
      </c>
      <c r="D800" s="27" t="s">
        <v>28</v>
      </c>
      <c r="E800" s="27" t="s">
        <v>56</v>
      </c>
      <c r="F800" s="28" t="n">
        <v>205</v>
      </c>
      <c r="G800" s="29" t="n">
        <v>2530</v>
      </c>
      <c r="H800" s="29" t="n">
        <f aca="false">F800*G800</f>
        <v>518650</v>
      </c>
    </row>
    <row r="801" customFormat="false" ht="15" hidden="false" customHeight="false" outlineLevel="0" collapsed="false">
      <c r="A801" s="27" t="n">
        <v>2024</v>
      </c>
      <c r="B801" s="27" t="n">
        <v>8</v>
      </c>
      <c r="C801" s="27" t="s">
        <v>45</v>
      </c>
      <c r="D801" s="27" t="s">
        <v>28</v>
      </c>
      <c r="E801" s="27" t="s">
        <v>58</v>
      </c>
      <c r="F801" s="28" t="n">
        <v>149</v>
      </c>
      <c r="G801" s="29" t="n">
        <v>2490</v>
      </c>
      <c r="H801" s="29" t="n">
        <f aca="false">F801*G801</f>
        <v>371010</v>
      </c>
    </row>
    <row r="802" customFormat="false" ht="15" hidden="false" customHeight="false" outlineLevel="0" collapsed="false">
      <c r="A802" s="27" t="n">
        <v>2024</v>
      </c>
      <c r="B802" s="27" t="n">
        <v>9</v>
      </c>
      <c r="C802" s="27" t="s">
        <v>38</v>
      </c>
      <c r="D802" s="27" t="s">
        <v>22</v>
      </c>
      <c r="E802" s="27" t="s">
        <v>50</v>
      </c>
      <c r="F802" s="28" t="n">
        <v>8131</v>
      </c>
      <c r="G802" s="29" t="n">
        <v>2630</v>
      </c>
      <c r="H802" s="29" t="n">
        <f aca="false">F802*G802</f>
        <v>21384530</v>
      </c>
    </row>
    <row r="803" customFormat="false" ht="15" hidden="false" customHeight="false" outlineLevel="0" collapsed="false">
      <c r="A803" s="27" t="n">
        <v>2024</v>
      </c>
      <c r="B803" s="27" t="n">
        <v>9</v>
      </c>
      <c r="C803" s="27" t="s">
        <v>38</v>
      </c>
      <c r="D803" s="27" t="s">
        <v>22</v>
      </c>
      <c r="E803" s="27" t="s">
        <v>52</v>
      </c>
      <c r="F803" s="28" t="n">
        <v>5418</v>
      </c>
      <c r="G803" s="29" t="n">
        <v>2560</v>
      </c>
      <c r="H803" s="29" t="n">
        <f aca="false">F803*G803</f>
        <v>13870080</v>
      </c>
    </row>
    <row r="804" customFormat="false" ht="15" hidden="false" customHeight="false" outlineLevel="0" collapsed="false">
      <c r="A804" s="27" t="n">
        <v>2024</v>
      </c>
      <c r="B804" s="27" t="n">
        <v>9</v>
      </c>
      <c r="C804" s="27" t="s">
        <v>38</v>
      </c>
      <c r="D804" s="27" t="s">
        <v>22</v>
      </c>
      <c r="E804" s="27" t="s">
        <v>54</v>
      </c>
      <c r="F804" s="28" t="n">
        <v>4013</v>
      </c>
      <c r="G804" s="29" t="n">
        <v>2640</v>
      </c>
      <c r="H804" s="29" t="n">
        <f aca="false">F804*G804</f>
        <v>10594320</v>
      </c>
    </row>
    <row r="805" customFormat="false" ht="15" hidden="false" customHeight="false" outlineLevel="0" collapsed="false">
      <c r="A805" s="27" t="n">
        <v>2024</v>
      </c>
      <c r="B805" s="27" t="n">
        <v>9</v>
      </c>
      <c r="C805" s="27" t="s">
        <v>38</v>
      </c>
      <c r="D805" s="27" t="s">
        <v>22</v>
      </c>
      <c r="E805" s="27" t="s">
        <v>56</v>
      </c>
      <c r="F805" s="28" t="n">
        <v>4964</v>
      </c>
      <c r="G805" s="29" t="n">
        <v>2610</v>
      </c>
      <c r="H805" s="29" t="n">
        <f aca="false">F805*G805</f>
        <v>12956040</v>
      </c>
    </row>
    <row r="806" customFormat="false" ht="15" hidden="false" customHeight="false" outlineLevel="0" collapsed="false">
      <c r="A806" s="27" t="n">
        <v>2024</v>
      </c>
      <c r="B806" s="27" t="n">
        <v>9</v>
      </c>
      <c r="C806" s="27" t="s">
        <v>38</v>
      </c>
      <c r="D806" s="27" t="s">
        <v>22</v>
      </c>
      <c r="E806" s="27" t="s">
        <v>58</v>
      </c>
      <c r="F806" s="28" t="n">
        <v>3276</v>
      </c>
      <c r="G806" s="29" t="n">
        <v>2590</v>
      </c>
      <c r="H806" s="29" t="n">
        <f aca="false">F806*G806</f>
        <v>8484840</v>
      </c>
    </row>
    <row r="807" customFormat="false" ht="15" hidden="false" customHeight="false" outlineLevel="0" collapsed="false">
      <c r="A807" s="27" t="n">
        <v>2024</v>
      </c>
      <c r="B807" s="27" t="n">
        <v>9</v>
      </c>
      <c r="C807" s="27" t="s">
        <v>38</v>
      </c>
      <c r="D807" s="27" t="s">
        <v>24</v>
      </c>
      <c r="E807" s="27" t="s">
        <v>50</v>
      </c>
      <c r="F807" s="28" t="n">
        <v>4466</v>
      </c>
      <c r="G807" s="29" t="n">
        <v>2410</v>
      </c>
      <c r="H807" s="29" t="n">
        <f aca="false">F807*G807</f>
        <v>10763060</v>
      </c>
    </row>
    <row r="808" customFormat="false" ht="15" hidden="false" customHeight="false" outlineLevel="0" collapsed="false">
      <c r="A808" s="27" t="n">
        <v>2024</v>
      </c>
      <c r="B808" s="27" t="n">
        <v>9</v>
      </c>
      <c r="C808" s="27" t="s">
        <v>38</v>
      </c>
      <c r="D808" s="27" t="s">
        <v>24</v>
      </c>
      <c r="E808" s="27" t="s">
        <v>52</v>
      </c>
      <c r="F808" s="28" t="n">
        <v>2746</v>
      </c>
      <c r="G808" s="29" t="n">
        <v>2420</v>
      </c>
      <c r="H808" s="29" t="n">
        <f aca="false">F808*G808</f>
        <v>6645320</v>
      </c>
    </row>
    <row r="809" customFormat="false" ht="15" hidden="false" customHeight="false" outlineLevel="0" collapsed="false">
      <c r="A809" s="27" t="n">
        <v>2024</v>
      </c>
      <c r="B809" s="27" t="n">
        <v>9</v>
      </c>
      <c r="C809" s="27" t="s">
        <v>38</v>
      </c>
      <c r="D809" s="27" t="s">
        <v>24</v>
      </c>
      <c r="E809" s="27" t="s">
        <v>54</v>
      </c>
      <c r="F809" s="28" t="n">
        <v>2127</v>
      </c>
      <c r="G809" s="29" t="n">
        <v>2430</v>
      </c>
      <c r="H809" s="29" t="n">
        <f aca="false">F809*G809</f>
        <v>5168610</v>
      </c>
    </row>
    <row r="810" customFormat="false" ht="15" hidden="false" customHeight="false" outlineLevel="0" collapsed="false">
      <c r="A810" s="27" t="n">
        <v>2024</v>
      </c>
      <c r="B810" s="27" t="n">
        <v>9</v>
      </c>
      <c r="C810" s="27" t="s">
        <v>38</v>
      </c>
      <c r="D810" s="27" t="s">
        <v>24</v>
      </c>
      <c r="E810" s="27" t="s">
        <v>56</v>
      </c>
      <c r="F810" s="28" t="n">
        <v>2995</v>
      </c>
      <c r="G810" s="29" t="n">
        <v>2380</v>
      </c>
      <c r="H810" s="29" t="n">
        <f aca="false">F810*G810</f>
        <v>7128100</v>
      </c>
    </row>
    <row r="811" customFormat="false" ht="15" hidden="false" customHeight="false" outlineLevel="0" collapsed="false">
      <c r="A811" s="27" t="n">
        <v>2024</v>
      </c>
      <c r="B811" s="27" t="n">
        <v>9</v>
      </c>
      <c r="C811" s="27" t="s">
        <v>38</v>
      </c>
      <c r="D811" s="27" t="s">
        <v>24</v>
      </c>
      <c r="E811" s="27" t="s">
        <v>58</v>
      </c>
      <c r="F811" s="28" t="n">
        <v>1818</v>
      </c>
      <c r="G811" s="29" t="n">
        <v>2400</v>
      </c>
      <c r="H811" s="29" t="n">
        <f aca="false">F811*G811</f>
        <v>4363200</v>
      </c>
    </row>
    <row r="812" customFormat="false" ht="15" hidden="false" customHeight="false" outlineLevel="0" collapsed="false">
      <c r="A812" s="27" t="n">
        <v>2024</v>
      </c>
      <c r="B812" s="27" t="n">
        <v>9</v>
      </c>
      <c r="C812" s="27" t="s">
        <v>38</v>
      </c>
      <c r="D812" s="27" t="s">
        <v>26</v>
      </c>
      <c r="E812" s="27" t="s">
        <v>50</v>
      </c>
      <c r="F812" s="28" t="n">
        <v>2181</v>
      </c>
      <c r="G812" s="29" t="n">
        <v>2910</v>
      </c>
      <c r="H812" s="29" t="n">
        <f aca="false">F812*G812</f>
        <v>6346710</v>
      </c>
    </row>
    <row r="813" customFormat="false" ht="15" hidden="false" customHeight="false" outlineLevel="0" collapsed="false">
      <c r="A813" s="27" t="n">
        <v>2024</v>
      </c>
      <c r="B813" s="27" t="n">
        <v>9</v>
      </c>
      <c r="C813" s="27" t="s">
        <v>38</v>
      </c>
      <c r="D813" s="27" t="s">
        <v>26</v>
      </c>
      <c r="E813" s="27" t="s">
        <v>52</v>
      </c>
      <c r="F813" s="28" t="n">
        <v>1375</v>
      </c>
      <c r="G813" s="29" t="n">
        <v>2950</v>
      </c>
      <c r="H813" s="29" t="n">
        <f aca="false">F813*G813</f>
        <v>4056250</v>
      </c>
    </row>
    <row r="814" customFormat="false" ht="15" hidden="false" customHeight="false" outlineLevel="0" collapsed="false">
      <c r="A814" s="27" t="n">
        <v>2024</v>
      </c>
      <c r="B814" s="27" t="n">
        <v>9</v>
      </c>
      <c r="C814" s="27" t="s">
        <v>38</v>
      </c>
      <c r="D814" s="27" t="s">
        <v>26</v>
      </c>
      <c r="E814" s="27" t="s">
        <v>54</v>
      </c>
      <c r="F814" s="28" t="n">
        <v>1070</v>
      </c>
      <c r="G814" s="29" t="n">
        <v>2940</v>
      </c>
      <c r="H814" s="29" t="n">
        <f aca="false">F814*G814</f>
        <v>3145800</v>
      </c>
    </row>
    <row r="815" customFormat="false" ht="15" hidden="false" customHeight="false" outlineLevel="0" collapsed="false">
      <c r="A815" s="27" t="n">
        <v>2024</v>
      </c>
      <c r="B815" s="27" t="n">
        <v>9</v>
      </c>
      <c r="C815" s="27" t="s">
        <v>38</v>
      </c>
      <c r="D815" s="27" t="s">
        <v>26</v>
      </c>
      <c r="E815" s="27" t="s">
        <v>56</v>
      </c>
      <c r="F815" s="28" t="n">
        <v>1111</v>
      </c>
      <c r="G815" s="29" t="n">
        <v>2960</v>
      </c>
      <c r="H815" s="29" t="n">
        <f aca="false">F815*G815</f>
        <v>3288560</v>
      </c>
    </row>
    <row r="816" customFormat="false" ht="15" hidden="false" customHeight="false" outlineLevel="0" collapsed="false">
      <c r="A816" s="27" t="n">
        <v>2024</v>
      </c>
      <c r="B816" s="27" t="n">
        <v>9</v>
      </c>
      <c r="C816" s="27" t="s">
        <v>38</v>
      </c>
      <c r="D816" s="27" t="s">
        <v>26</v>
      </c>
      <c r="E816" s="27" t="s">
        <v>58</v>
      </c>
      <c r="F816" s="28" t="n">
        <v>877</v>
      </c>
      <c r="G816" s="29" t="n">
        <v>2940</v>
      </c>
      <c r="H816" s="29" t="n">
        <f aca="false">F816*G816</f>
        <v>2578380</v>
      </c>
    </row>
    <row r="817" customFormat="false" ht="15" hidden="false" customHeight="false" outlineLevel="0" collapsed="false">
      <c r="A817" s="27" t="n">
        <v>2024</v>
      </c>
      <c r="B817" s="27" t="n">
        <v>9</v>
      </c>
      <c r="C817" s="27" t="s">
        <v>38</v>
      </c>
      <c r="D817" s="27" t="s">
        <v>28</v>
      </c>
      <c r="E817" s="27" t="s">
        <v>50</v>
      </c>
      <c r="F817" s="28" t="n">
        <v>766</v>
      </c>
      <c r="G817" s="29" t="n">
        <v>2710</v>
      </c>
      <c r="H817" s="29" t="n">
        <f aca="false">F817*G817</f>
        <v>2075860</v>
      </c>
    </row>
    <row r="818" customFormat="false" ht="15" hidden="false" customHeight="false" outlineLevel="0" collapsed="false">
      <c r="A818" s="27" t="n">
        <v>2024</v>
      </c>
      <c r="B818" s="27" t="n">
        <v>9</v>
      </c>
      <c r="C818" s="27" t="s">
        <v>38</v>
      </c>
      <c r="D818" s="27" t="s">
        <v>28</v>
      </c>
      <c r="E818" s="27" t="s">
        <v>52</v>
      </c>
      <c r="F818" s="28" t="n">
        <v>513</v>
      </c>
      <c r="G818" s="29" t="n">
        <v>2730</v>
      </c>
      <c r="H818" s="29" t="n">
        <f aca="false">F818*G818</f>
        <v>1400490</v>
      </c>
    </row>
    <row r="819" customFormat="false" ht="15" hidden="false" customHeight="false" outlineLevel="0" collapsed="false">
      <c r="A819" s="27" t="n">
        <v>2024</v>
      </c>
      <c r="B819" s="27" t="n">
        <v>9</v>
      </c>
      <c r="C819" s="27" t="s">
        <v>38</v>
      </c>
      <c r="D819" s="27" t="s">
        <v>28</v>
      </c>
      <c r="E819" s="27" t="s">
        <v>54</v>
      </c>
      <c r="F819" s="28" t="n">
        <v>413</v>
      </c>
      <c r="G819" s="29" t="n">
        <v>2760</v>
      </c>
      <c r="H819" s="29" t="n">
        <f aca="false">F819*G819</f>
        <v>1139880</v>
      </c>
    </row>
    <row r="820" customFormat="false" ht="15" hidden="false" customHeight="false" outlineLevel="0" collapsed="false">
      <c r="A820" s="27" t="n">
        <v>2024</v>
      </c>
      <c r="B820" s="27" t="n">
        <v>9</v>
      </c>
      <c r="C820" s="27" t="s">
        <v>38</v>
      </c>
      <c r="D820" s="27" t="s">
        <v>28</v>
      </c>
      <c r="E820" s="27" t="s">
        <v>56</v>
      </c>
      <c r="F820" s="28" t="n">
        <v>441</v>
      </c>
      <c r="G820" s="29" t="n">
        <v>2760</v>
      </c>
      <c r="H820" s="29" t="n">
        <f aca="false">F820*G820</f>
        <v>1217160</v>
      </c>
    </row>
    <row r="821" customFormat="false" ht="15" hidden="false" customHeight="false" outlineLevel="0" collapsed="false">
      <c r="A821" s="27" t="n">
        <v>2024</v>
      </c>
      <c r="B821" s="27" t="n">
        <v>9</v>
      </c>
      <c r="C821" s="27" t="s">
        <v>38</v>
      </c>
      <c r="D821" s="27" t="s">
        <v>28</v>
      </c>
      <c r="E821" s="27" t="s">
        <v>58</v>
      </c>
      <c r="F821" s="28" t="n">
        <v>331</v>
      </c>
      <c r="G821" s="29" t="n">
        <v>2720</v>
      </c>
      <c r="H821" s="29" t="n">
        <f aca="false">F821*G821</f>
        <v>900320</v>
      </c>
    </row>
    <row r="822" customFormat="false" ht="15" hidden="false" customHeight="false" outlineLevel="0" collapsed="false">
      <c r="A822" s="27" t="n">
        <v>2024</v>
      </c>
      <c r="B822" s="27" t="n">
        <v>9</v>
      </c>
      <c r="C822" s="27" t="s">
        <v>40</v>
      </c>
      <c r="D822" s="27" t="s">
        <v>22</v>
      </c>
      <c r="E822" s="27" t="s">
        <v>50</v>
      </c>
      <c r="F822" s="28" t="n">
        <v>4683</v>
      </c>
      <c r="G822" s="29" t="n">
        <v>2310</v>
      </c>
      <c r="H822" s="29" t="n">
        <f aca="false">F822*G822</f>
        <v>10817730</v>
      </c>
    </row>
    <row r="823" customFormat="false" ht="15" hidden="false" customHeight="false" outlineLevel="0" collapsed="false">
      <c r="A823" s="27" t="n">
        <v>2024</v>
      </c>
      <c r="B823" s="27" t="n">
        <v>9</v>
      </c>
      <c r="C823" s="27" t="s">
        <v>40</v>
      </c>
      <c r="D823" s="27" t="s">
        <v>22</v>
      </c>
      <c r="E823" s="27" t="s">
        <v>52</v>
      </c>
      <c r="F823" s="28" t="n">
        <v>2778</v>
      </c>
      <c r="G823" s="29" t="n">
        <v>2310</v>
      </c>
      <c r="H823" s="29" t="n">
        <f aca="false">F823*G823</f>
        <v>6417180</v>
      </c>
    </row>
    <row r="824" customFormat="false" ht="15" hidden="false" customHeight="false" outlineLevel="0" collapsed="false">
      <c r="A824" s="27" t="n">
        <v>2024</v>
      </c>
      <c r="B824" s="27" t="n">
        <v>9</v>
      </c>
      <c r="C824" s="27" t="s">
        <v>40</v>
      </c>
      <c r="D824" s="27" t="s">
        <v>22</v>
      </c>
      <c r="E824" s="27" t="s">
        <v>54</v>
      </c>
      <c r="F824" s="28" t="n">
        <v>2339</v>
      </c>
      <c r="G824" s="29" t="n">
        <v>2300</v>
      </c>
      <c r="H824" s="29" t="n">
        <f aca="false">F824*G824</f>
        <v>5379700</v>
      </c>
    </row>
    <row r="825" customFormat="false" ht="15" hidden="false" customHeight="false" outlineLevel="0" collapsed="false">
      <c r="A825" s="27" t="n">
        <v>2024</v>
      </c>
      <c r="B825" s="27" t="n">
        <v>9</v>
      </c>
      <c r="C825" s="27" t="s">
        <v>40</v>
      </c>
      <c r="D825" s="27" t="s">
        <v>22</v>
      </c>
      <c r="E825" s="27" t="s">
        <v>56</v>
      </c>
      <c r="F825" s="28" t="n">
        <v>2984</v>
      </c>
      <c r="G825" s="29" t="n">
        <v>2330</v>
      </c>
      <c r="H825" s="29" t="n">
        <f aca="false">F825*G825</f>
        <v>6952720</v>
      </c>
    </row>
    <row r="826" customFormat="false" ht="15" hidden="false" customHeight="false" outlineLevel="0" collapsed="false">
      <c r="A826" s="27" t="n">
        <v>2024</v>
      </c>
      <c r="B826" s="27" t="n">
        <v>9</v>
      </c>
      <c r="C826" s="27" t="s">
        <v>40</v>
      </c>
      <c r="D826" s="27" t="s">
        <v>22</v>
      </c>
      <c r="E826" s="27" t="s">
        <v>58</v>
      </c>
      <c r="F826" s="28" t="n">
        <v>2035</v>
      </c>
      <c r="G826" s="29" t="n">
        <v>2280</v>
      </c>
      <c r="H826" s="29" t="n">
        <f aca="false">F826*G826</f>
        <v>4639800</v>
      </c>
    </row>
    <row r="827" customFormat="false" ht="15" hidden="false" customHeight="false" outlineLevel="0" collapsed="false">
      <c r="A827" s="27" t="n">
        <v>2024</v>
      </c>
      <c r="B827" s="27" t="n">
        <v>9</v>
      </c>
      <c r="C827" s="27" t="s">
        <v>40</v>
      </c>
      <c r="D827" s="27" t="s">
        <v>24</v>
      </c>
      <c r="E827" s="27" t="s">
        <v>50</v>
      </c>
      <c r="F827" s="28" t="n">
        <v>2661</v>
      </c>
      <c r="G827" s="29" t="n">
        <v>2170</v>
      </c>
      <c r="H827" s="29" t="n">
        <f aca="false">F827*G827</f>
        <v>5774370</v>
      </c>
    </row>
    <row r="828" customFormat="false" ht="15" hidden="false" customHeight="false" outlineLevel="0" collapsed="false">
      <c r="A828" s="27" t="n">
        <v>2024</v>
      </c>
      <c r="B828" s="27" t="n">
        <v>9</v>
      </c>
      <c r="C828" s="27" t="s">
        <v>40</v>
      </c>
      <c r="D828" s="27" t="s">
        <v>24</v>
      </c>
      <c r="E828" s="27" t="s">
        <v>52</v>
      </c>
      <c r="F828" s="28" t="n">
        <v>1752</v>
      </c>
      <c r="G828" s="29" t="n">
        <v>2130</v>
      </c>
      <c r="H828" s="29" t="n">
        <f aca="false">F828*G828</f>
        <v>3731760</v>
      </c>
    </row>
    <row r="829" customFormat="false" ht="15" hidden="false" customHeight="false" outlineLevel="0" collapsed="false">
      <c r="A829" s="27" t="n">
        <v>2024</v>
      </c>
      <c r="B829" s="27" t="n">
        <v>9</v>
      </c>
      <c r="C829" s="27" t="s">
        <v>40</v>
      </c>
      <c r="D829" s="27" t="s">
        <v>24</v>
      </c>
      <c r="E829" s="27" t="s">
        <v>54</v>
      </c>
      <c r="F829" s="28" t="n">
        <v>1349</v>
      </c>
      <c r="G829" s="29" t="n">
        <v>2110</v>
      </c>
      <c r="H829" s="29" t="n">
        <f aca="false">F829*G829</f>
        <v>2846390</v>
      </c>
    </row>
    <row r="830" customFormat="false" ht="15" hidden="false" customHeight="false" outlineLevel="0" collapsed="false">
      <c r="A830" s="27" t="n">
        <v>2024</v>
      </c>
      <c r="B830" s="27" t="n">
        <v>9</v>
      </c>
      <c r="C830" s="27" t="s">
        <v>40</v>
      </c>
      <c r="D830" s="27" t="s">
        <v>24</v>
      </c>
      <c r="E830" s="27" t="s">
        <v>56</v>
      </c>
      <c r="F830" s="28" t="n">
        <v>1652</v>
      </c>
      <c r="G830" s="29" t="n">
        <v>2100</v>
      </c>
      <c r="H830" s="29" t="n">
        <f aca="false">F830*G830</f>
        <v>3469200</v>
      </c>
    </row>
    <row r="831" customFormat="false" ht="15" hidden="false" customHeight="false" outlineLevel="0" collapsed="false">
      <c r="A831" s="27" t="n">
        <v>2024</v>
      </c>
      <c r="B831" s="27" t="n">
        <v>9</v>
      </c>
      <c r="C831" s="27" t="s">
        <v>40</v>
      </c>
      <c r="D831" s="27" t="s">
        <v>24</v>
      </c>
      <c r="E831" s="27" t="s">
        <v>58</v>
      </c>
      <c r="F831" s="28" t="n">
        <v>1151</v>
      </c>
      <c r="G831" s="29" t="n">
        <v>2140</v>
      </c>
      <c r="H831" s="29" t="n">
        <f aca="false">F831*G831</f>
        <v>2463140</v>
      </c>
    </row>
    <row r="832" customFormat="false" ht="15" hidden="false" customHeight="false" outlineLevel="0" collapsed="false">
      <c r="A832" s="27" t="n">
        <v>2024</v>
      </c>
      <c r="B832" s="27" t="n">
        <v>9</v>
      </c>
      <c r="C832" s="27" t="s">
        <v>40</v>
      </c>
      <c r="D832" s="27" t="s">
        <v>26</v>
      </c>
      <c r="E832" s="27" t="s">
        <v>50</v>
      </c>
      <c r="F832" s="28" t="n">
        <v>1471</v>
      </c>
      <c r="G832" s="29" t="n">
        <v>2550</v>
      </c>
      <c r="H832" s="29" t="n">
        <f aca="false">F832*G832</f>
        <v>3751050</v>
      </c>
    </row>
    <row r="833" customFormat="false" ht="15" hidden="false" customHeight="false" outlineLevel="0" collapsed="false">
      <c r="A833" s="27" t="n">
        <v>2024</v>
      </c>
      <c r="B833" s="27" t="n">
        <v>9</v>
      </c>
      <c r="C833" s="27" t="s">
        <v>40</v>
      </c>
      <c r="D833" s="27" t="s">
        <v>26</v>
      </c>
      <c r="E833" s="27" t="s">
        <v>52</v>
      </c>
      <c r="F833" s="28" t="n">
        <v>817</v>
      </c>
      <c r="G833" s="29" t="n">
        <v>2620</v>
      </c>
      <c r="H833" s="29" t="n">
        <f aca="false">F833*G833</f>
        <v>2140540</v>
      </c>
    </row>
    <row r="834" customFormat="false" ht="15" hidden="false" customHeight="false" outlineLevel="0" collapsed="false">
      <c r="A834" s="27" t="n">
        <v>2024</v>
      </c>
      <c r="B834" s="27" t="n">
        <v>9</v>
      </c>
      <c r="C834" s="27" t="s">
        <v>40</v>
      </c>
      <c r="D834" s="27" t="s">
        <v>26</v>
      </c>
      <c r="E834" s="27" t="s">
        <v>54</v>
      </c>
      <c r="F834" s="28" t="n">
        <v>696</v>
      </c>
      <c r="G834" s="29" t="n">
        <v>2560</v>
      </c>
      <c r="H834" s="29" t="n">
        <f aca="false">F834*G834</f>
        <v>1781760</v>
      </c>
    </row>
    <row r="835" customFormat="false" ht="15" hidden="false" customHeight="false" outlineLevel="0" collapsed="false">
      <c r="A835" s="27" t="n">
        <v>2024</v>
      </c>
      <c r="B835" s="27" t="n">
        <v>9</v>
      </c>
      <c r="C835" s="27" t="s">
        <v>40</v>
      </c>
      <c r="D835" s="27" t="s">
        <v>26</v>
      </c>
      <c r="E835" s="27" t="s">
        <v>56</v>
      </c>
      <c r="F835" s="28" t="n">
        <v>789</v>
      </c>
      <c r="G835" s="29" t="n">
        <v>2580</v>
      </c>
      <c r="H835" s="29" t="n">
        <f aca="false">F835*G835</f>
        <v>2035620</v>
      </c>
    </row>
    <row r="836" customFormat="false" ht="15" hidden="false" customHeight="false" outlineLevel="0" collapsed="false">
      <c r="A836" s="27" t="n">
        <v>2024</v>
      </c>
      <c r="B836" s="27" t="n">
        <v>9</v>
      </c>
      <c r="C836" s="27" t="s">
        <v>40</v>
      </c>
      <c r="D836" s="27" t="s">
        <v>26</v>
      </c>
      <c r="E836" s="27" t="s">
        <v>58</v>
      </c>
      <c r="F836" s="28" t="n">
        <v>541</v>
      </c>
      <c r="G836" s="29" t="n">
        <v>2560</v>
      </c>
      <c r="H836" s="29" t="n">
        <f aca="false">F836*G836</f>
        <v>1384960</v>
      </c>
    </row>
    <row r="837" customFormat="false" ht="15" hidden="false" customHeight="false" outlineLevel="0" collapsed="false">
      <c r="A837" s="27" t="n">
        <v>2024</v>
      </c>
      <c r="B837" s="27" t="n">
        <v>9</v>
      </c>
      <c r="C837" s="27" t="s">
        <v>40</v>
      </c>
      <c r="D837" s="27" t="s">
        <v>28</v>
      </c>
      <c r="E837" s="27" t="s">
        <v>50</v>
      </c>
      <c r="F837" s="28" t="n">
        <v>503</v>
      </c>
      <c r="G837" s="29" t="n">
        <v>2380</v>
      </c>
      <c r="H837" s="29" t="n">
        <f aca="false">F837*G837</f>
        <v>1197140</v>
      </c>
    </row>
    <row r="838" customFormat="false" ht="15" hidden="false" customHeight="false" outlineLevel="0" collapsed="false">
      <c r="A838" s="27" t="n">
        <v>2024</v>
      </c>
      <c r="B838" s="27" t="n">
        <v>9</v>
      </c>
      <c r="C838" s="27" t="s">
        <v>40</v>
      </c>
      <c r="D838" s="27" t="s">
        <v>28</v>
      </c>
      <c r="E838" s="27" t="s">
        <v>52</v>
      </c>
      <c r="F838" s="28" t="n">
        <v>318</v>
      </c>
      <c r="G838" s="29" t="n">
        <v>2430</v>
      </c>
      <c r="H838" s="29" t="n">
        <f aca="false">F838*G838</f>
        <v>772740</v>
      </c>
    </row>
    <row r="839" customFormat="false" ht="15" hidden="false" customHeight="false" outlineLevel="0" collapsed="false">
      <c r="A839" s="27" t="n">
        <v>2024</v>
      </c>
      <c r="B839" s="27" t="n">
        <v>9</v>
      </c>
      <c r="C839" s="27" t="s">
        <v>40</v>
      </c>
      <c r="D839" s="27" t="s">
        <v>28</v>
      </c>
      <c r="E839" s="27" t="s">
        <v>54</v>
      </c>
      <c r="F839" s="28" t="n">
        <v>250</v>
      </c>
      <c r="G839" s="29" t="n">
        <v>2380</v>
      </c>
      <c r="H839" s="29" t="n">
        <f aca="false">F839*G839</f>
        <v>595000</v>
      </c>
    </row>
    <row r="840" customFormat="false" ht="15" hidden="false" customHeight="false" outlineLevel="0" collapsed="false">
      <c r="A840" s="27" t="n">
        <v>2024</v>
      </c>
      <c r="B840" s="27" t="n">
        <v>9</v>
      </c>
      <c r="C840" s="27" t="s">
        <v>40</v>
      </c>
      <c r="D840" s="27" t="s">
        <v>28</v>
      </c>
      <c r="E840" s="27" t="s">
        <v>56</v>
      </c>
      <c r="F840" s="28" t="n">
        <v>315</v>
      </c>
      <c r="G840" s="29" t="n">
        <v>2420</v>
      </c>
      <c r="H840" s="29" t="n">
        <f aca="false">F840*G840</f>
        <v>762300</v>
      </c>
    </row>
    <row r="841" customFormat="false" ht="15" hidden="false" customHeight="false" outlineLevel="0" collapsed="false">
      <c r="A841" s="27" t="n">
        <v>2024</v>
      </c>
      <c r="B841" s="27" t="n">
        <v>9</v>
      </c>
      <c r="C841" s="27" t="s">
        <v>40</v>
      </c>
      <c r="D841" s="27" t="s">
        <v>28</v>
      </c>
      <c r="E841" s="27" t="s">
        <v>58</v>
      </c>
      <c r="F841" s="28" t="n">
        <v>198</v>
      </c>
      <c r="G841" s="29" t="n">
        <v>2410</v>
      </c>
      <c r="H841" s="29" t="n">
        <f aca="false">F841*G841</f>
        <v>477180</v>
      </c>
    </row>
    <row r="842" customFormat="false" ht="15" hidden="false" customHeight="false" outlineLevel="0" collapsed="false">
      <c r="A842" s="27" t="n">
        <v>2024</v>
      </c>
      <c r="B842" s="27" t="n">
        <v>9</v>
      </c>
      <c r="C842" s="27" t="s">
        <v>42</v>
      </c>
      <c r="D842" s="27" t="s">
        <v>22</v>
      </c>
      <c r="E842" s="27" t="s">
        <v>50</v>
      </c>
      <c r="F842" s="28" t="n">
        <v>4148</v>
      </c>
      <c r="G842" s="29" t="n">
        <v>2080</v>
      </c>
      <c r="H842" s="29" t="n">
        <f aca="false">F842*G842</f>
        <v>8627840</v>
      </c>
    </row>
    <row r="843" customFormat="false" ht="15" hidden="false" customHeight="false" outlineLevel="0" collapsed="false">
      <c r="A843" s="27" t="n">
        <v>2024</v>
      </c>
      <c r="B843" s="27" t="n">
        <v>9</v>
      </c>
      <c r="C843" s="27" t="s">
        <v>42</v>
      </c>
      <c r="D843" s="27" t="s">
        <v>22</v>
      </c>
      <c r="E843" s="27" t="s">
        <v>52</v>
      </c>
      <c r="F843" s="28" t="n">
        <v>2727</v>
      </c>
      <c r="G843" s="29" t="n">
        <v>2130</v>
      </c>
      <c r="H843" s="29" t="n">
        <f aca="false">F843*G843</f>
        <v>5808510</v>
      </c>
    </row>
    <row r="844" customFormat="false" ht="15" hidden="false" customHeight="false" outlineLevel="0" collapsed="false">
      <c r="A844" s="27" t="n">
        <v>2024</v>
      </c>
      <c r="B844" s="27" t="n">
        <v>9</v>
      </c>
      <c r="C844" s="27" t="s">
        <v>42</v>
      </c>
      <c r="D844" s="27" t="s">
        <v>22</v>
      </c>
      <c r="E844" s="27" t="s">
        <v>54</v>
      </c>
      <c r="F844" s="28" t="n">
        <v>2171</v>
      </c>
      <c r="G844" s="29" t="n">
        <v>2110</v>
      </c>
      <c r="H844" s="29" t="n">
        <f aca="false">F844*G844</f>
        <v>4580810</v>
      </c>
    </row>
    <row r="845" customFormat="false" ht="15" hidden="false" customHeight="false" outlineLevel="0" collapsed="false">
      <c r="A845" s="27" t="n">
        <v>2024</v>
      </c>
      <c r="B845" s="27" t="n">
        <v>9</v>
      </c>
      <c r="C845" s="27" t="s">
        <v>42</v>
      </c>
      <c r="D845" s="27" t="s">
        <v>22</v>
      </c>
      <c r="E845" s="27" t="s">
        <v>56</v>
      </c>
      <c r="F845" s="28" t="n">
        <v>2591</v>
      </c>
      <c r="G845" s="29" t="n">
        <v>2110</v>
      </c>
      <c r="H845" s="29" t="n">
        <f aca="false">F845*G845</f>
        <v>5467010</v>
      </c>
    </row>
    <row r="846" customFormat="false" ht="15" hidden="false" customHeight="false" outlineLevel="0" collapsed="false">
      <c r="A846" s="27" t="n">
        <v>2024</v>
      </c>
      <c r="B846" s="27" t="n">
        <v>9</v>
      </c>
      <c r="C846" s="27" t="s">
        <v>42</v>
      </c>
      <c r="D846" s="27" t="s">
        <v>22</v>
      </c>
      <c r="E846" s="27" t="s">
        <v>58</v>
      </c>
      <c r="F846" s="28" t="n">
        <v>1809</v>
      </c>
      <c r="G846" s="29" t="n">
        <v>2120</v>
      </c>
      <c r="H846" s="29" t="n">
        <f aca="false">F846*G846</f>
        <v>3835080</v>
      </c>
    </row>
    <row r="847" customFormat="false" ht="15" hidden="false" customHeight="false" outlineLevel="0" collapsed="false">
      <c r="A847" s="27" t="n">
        <v>2024</v>
      </c>
      <c r="B847" s="27" t="n">
        <v>9</v>
      </c>
      <c r="C847" s="27" t="s">
        <v>42</v>
      </c>
      <c r="D847" s="27" t="s">
        <v>24</v>
      </c>
      <c r="E847" s="27" t="s">
        <v>50</v>
      </c>
      <c r="F847" s="28" t="n">
        <v>2357</v>
      </c>
      <c r="G847" s="29" t="n">
        <v>1920</v>
      </c>
      <c r="H847" s="29" t="n">
        <f aca="false">F847*G847</f>
        <v>4525440</v>
      </c>
    </row>
    <row r="848" customFormat="false" ht="15" hidden="false" customHeight="false" outlineLevel="0" collapsed="false">
      <c r="A848" s="27" t="n">
        <v>2024</v>
      </c>
      <c r="B848" s="27" t="n">
        <v>9</v>
      </c>
      <c r="C848" s="27" t="s">
        <v>42</v>
      </c>
      <c r="D848" s="27" t="s">
        <v>24</v>
      </c>
      <c r="E848" s="27" t="s">
        <v>52</v>
      </c>
      <c r="F848" s="28" t="n">
        <v>1409</v>
      </c>
      <c r="G848" s="29" t="n">
        <v>1940</v>
      </c>
      <c r="H848" s="29" t="n">
        <f aca="false">F848*G848</f>
        <v>2733460</v>
      </c>
    </row>
    <row r="849" customFormat="false" ht="15" hidden="false" customHeight="false" outlineLevel="0" collapsed="false">
      <c r="A849" s="27" t="n">
        <v>2024</v>
      </c>
      <c r="B849" s="27" t="n">
        <v>9</v>
      </c>
      <c r="C849" s="27" t="s">
        <v>42</v>
      </c>
      <c r="D849" s="27" t="s">
        <v>24</v>
      </c>
      <c r="E849" s="27" t="s">
        <v>54</v>
      </c>
      <c r="F849" s="28" t="n">
        <v>1135</v>
      </c>
      <c r="G849" s="29" t="n">
        <v>1960</v>
      </c>
      <c r="H849" s="29" t="n">
        <f aca="false">F849*G849</f>
        <v>2224600</v>
      </c>
    </row>
    <row r="850" customFormat="false" ht="15" hidden="false" customHeight="false" outlineLevel="0" collapsed="false">
      <c r="A850" s="27" t="n">
        <v>2024</v>
      </c>
      <c r="B850" s="27" t="n">
        <v>9</v>
      </c>
      <c r="C850" s="27" t="s">
        <v>42</v>
      </c>
      <c r="D850" s="27" t="s">
        <v>24</v>
      </c>
      <c r="E850" s="27" t="s">
        <v>56</v>
      </c>
      <c r="F850" s="28" t="n">
        <v>1404</v>
      </c>
      <c r="G850" s="29" t="n">
        <v>2000</v>
      </c>
      <c r="H850" s="29" t="n">
        <f aca="false">F850*G850</f>
        <v>2808000</v>
      </c>
    </row>
    <row r="851" customFormat="false" ht="15" hidden="false" customHeight="false" outlineLevel="0" collapsed="false">
      <c r="A851" s="27" t="n">
        <v>2024</v>
      </c>
      <c r="B851" s="27" t="n">
        <v>9</v>
      </c>
      <c r="C851" s="27" t="s">
        <v>42</v>
      </c>
      <c r="D851" s="27" t="s">
        <v>24</v>
      </c>
      <c r="E851" s="27" t="s">
        <v>58</v>
      </c>
      <c r="F851" s="28" t="n">
        <v>898</v>
      </c>
      <c r="G851" s="29" t="n">
        <v>1960</v>
      </c>
      <c r="H851" s="29" t="n">
        <f aca="false">F851*G851</f>
        <v>1760080</v>
      </c>
    </row>
    <row r="852" customFormat="false" ht="15" hidden="false" customHeight="false" outlineLevel="0" collapsed="false">
      <c r="A852" s="27" t="n">
        <v>2024</v>
      </c>
      <c r="B852" s="27" t="n">
        <v>9</v>
      </c>
      <c r="C852" s="27" t="s">
        <v>42</v>
      </c>
      <c r="D852" s="27" t="s">
        <v>26</v>
      </c>
      <c r="E852" s="27" t="s">
        <v>50</v>
      </c>
      <c r="F852" s="28" t="n">
        <v>1100</v>
      </c>
      <c r="G852" s="29" t="n">
        <v>2340</v>
      </c>
      <c r="H852" s="29" t="n">
        <f aca="false">F852*G852</f>
        <v>2574000</v>
      </c>
    </row>
    <row r="853" customFormat="false" ht="15" hidden="false" customHeight="false" outlineLevel="0" collapsed="false">
      <c r="A853" s="27" t="n">
        <v>2024</v>
      </c>
      <c r="B853" s="27" t="n">
        <v>9</v>
      </c>
      <c r="C853" s="27" t="s">
        <v>42</v>
      </c>
      <c r="D853" s="27" t="s">
        <v>26</v>
      </c>
      <c r="E853" s="27" t="s">
        <v>52</v>
      </c>
      <c r="F853" s="28" t="n">
        <v>734</v>
      </c>
      <c r="G853" s="29" t="n">
        <v>2300</v>
      </c>
      <c r="H853" s="29" t="n">
        <f aca="false">F853*G853</f>
        <v>1688200</v>
      </c>
    </row>
    <row r="854" customFormat="false" ht="15" hidden="false" customHeight="false" outlineLevel="0" collapsed="false">
      <c r="A854" s="27" t="n">
        <v>2024</v>
      </c>
      <c r="B854" s="27" t="n">
        <v>9</v>
      </c>
      <c r="C854" s="27" t="s">
        <v>42</v>
      </c>
      <c r="D854" s="27" t="s">
        <v>26</v>
      </c>
      <c r="E854" s="27" t="s">
        <v>54</v>
      </c>
      <c r="F854" s="28" t="n">
        <v>590</v>
      </c>
      <c r="G854" s="29" t="n">
        <v>2400</v>
      </c>
      <c r="H854" s="29" t="n">
        <f aca="false">F854*G854</f>
        <v>1416000</v>
      </c>
    </row>
    <row r="855" customFormat="false" ht="15" hidden="false" customHeight="false" outlineLevel="0" collapsed="false">
      <c r="A855" s="27" t="n">
        <v>2024</v>
      </c>
      <c r="B855" s="27" t="n">
        <v>9</v>
      </c>
      <c r="C855" s="27" t="s">
        <v>42</v>
      </c>
      <c r="D855" s="27" t="s">
        <v>26</v>
      </c>
      <c r="E855" s="27" t="s">
        <v>56</v>
      </c>
      <c r="F855" s="28" t="n">
        <v>677</v>
      </c>
      <c r="G855" s="29" t="n">
        <v>2360</v>
      </c>
      <c r="H855" s="29" t="n">
        <f aca="false">F855*G855</f>
        <v>1597720</v>
      </c>
    </row>
    <row r="856" customFormat="false" ht="15" hidden="false" customHeight="false" outlineLevel="0" collapsed="false">
      <c r="A856" s="27" t="n">
        <v>2024</v>
      </c>
      <c r="B856" s="27" t="n">
        <v>9</v>
      </c>
      <c r="C856" s="27" t="s">
        <v>42</v>
      </c>
      <c r="D856" s="27" t="s">
        <v>26</v>
      </c>
      <c r="E856" s="27" t="s">
        <v>58</v>
      </c>
      <c r="F856" s="28" t="n">
        <v>498</v>
      </c>
      <c r="G856" s="29" t="n">
        <v>2350</v>
      </c>
      <c r="H856" s="29" t="n">
        <f aca="false">F856*G856</f>
        <v>1170300</v>
      </c>
    </row>
    <row r="857" customFormat="false" ht="15" hidden="false" customHeight="false" outlineLevel="0" collapsed="false">
      <c r="A857" s="27" t="n">
        <v>2024</v>
      </c>
      <c r="B857" s="27" t="n">
        <v>9</v>
      </c>
      <c r="C857" s="27" t="s">
        <v>42</v>
      </c>
      <c r="D857" s="27" t="s">
        <v>28</v>
      </c>
      <c r="E857" s="27" t="s">
        <v>50</v>
      </c>
      <c r="F857" s="28" t="n">
        <v>435</v>
      </c>
      <c r="G857" s="29" t="n">
        <v>2150</v>
      </c>
      <c r="H857" s="29" t="n">
        <f aca="false">F857*G857</f>
        <v>935250</v>
      </c>
    </row>
    <row r="858" customFormat="false" ht="15" hidden="false" customHeight="false" outlineLevel="0" collapsed="false">
      <c r="A858" s="27" t="n">
        <v>2024</v>
      </c>
      <c r="B858" s="27" t="n">
        <v>9</v>
      </c>
      <c r="C858" s="27" t="s">
        <v>42</v>
      </c>
      <c r="D858" s="27" t="s">
        <v>28</v>
      </c>
      <c r="E858" s="27" t="s">
        <v>52</v>
      </c>
      <c r="F858" s="28" t="n">
        <v>289</v>
      </c>
      <c r="G858" s="29" t="n">
        <v>2200</v>
      </c>
      <c r="H858" s="29" t="n">
        <f aca="false">F858*G858</f>
        <v>635800</v>
      </c>
    </row>
    <row r="859" customFormat="false" ht="15" hidden="false" customHeight="false" outlineLevel="0" collapsed="false">
      <c r="A859" s="27" t="n">
        <v>2024</v>
      </c>
      <c r="B859" s="27" t="n">
        <v>9</v>
      </c>
      <c r="C859" s="27" t="s">
        <v>42</v>
      </c>
      <c r="D859" s="27" t="s">
        <v>28</v>
      </c>
      <c r="E859" s="27" t="s">
        <v>54</v>
      </c>
      <c r="F859" s="28" t="n">
        <v>213</v>
      </c>
      <c r="G859" s="29" t="n">
        <v>2210</v>
      </c>
      <c r="H859" s="29" t="n">
        <f aca="false">F859*G859</f>
        <v>470730</v>
      </c>
    </row>
    <row r="860" customFormat="false" ht="15" hidden="false" customHeight="false" outlineLevel="0" collapsed="false">
      <c r="A860" s="27" t="n">
        <v>2024</v>
      </c>
      <c r="B860" s="27" t="n">
        <v>9</v>
      </c>
      <c r="C860" s="27" t="s">
        <v>42</v>
      </c>
      <c r="D860" s="27" t="s">
        <v>28</v>
      </c>
      <c r="E860" s="27" t="s">
        <v>56</v>
      </c>
      <c r="F860" s="28" t="n">
        <v>258</v>
      </c>
      <c r="G860" s="29" t="n">
        <v>2190</v>
      </c>
      <c r="H860" s="29" t="n">
        <f aca="false">F860*G860</f>
        <v>565020</v>
      </c>
    </row>
    <row r="861" customFormat="false" ht="15" hidden="false" customHeight="false" outlineLevel="0" collapsed="false">
      <c r="A861" s="27" t="n">
        <v>2024</v>
      </c>
      <c r="B861" s="27" t="n">
        <v>9</v>
      </c>
      <c r="C861" s="27" t="s">
        <v>42</v>
      </c>
      <c r="D861" s="27" t="s">
        <v>28</v>
      </c>
      <c r="E861" s="27" t="s">
        <v>58</v>
      </c>
      <c r="F861" s="28" t="n">
        <v>188</v>
      </c>
      <c r="G861" s="29" t="n">
        <v>2180</v>
      </c>
      <c r="H861" s="29" t="n">
        <f aca="false">F861*G861</f>
        <v>409840</v>
      </c>
    </row>
    <row r="862" customFormat="false" ht="15" hidden="false" customHeight="false" outlineLevel="0" collapsed="false">
      <c r="A862" s="27" t="n">
        <v>2024</v>
      </c>
      <c r="B862" s="27" t="n">
        <v>9</v>
      </c>
      <c r="C862" s="27" t="s">
        <v>44</v>
      </c>
      <c r="D862" s="27" t="s">
        <v>22</v>
      </c>
      <c r="E862" s="27" t="s">
        <v>50</v>
      </c>
      <c r="F862" s="28" t="n">
        <v>2574</v>
      </c>
      <c r="G862" s="29" t="n">
        <v>3850</v>
      </c>
      <c r="H862" s="29" t="n">
        <f aca="false">F862*G862</f>
        <v>9909900</v>
      </c>
    </row>
    <row r="863" customFormat="false" ht="15" hidden="false" customHeight="false" outlineLevel="0" collapsed="false">
      <c r="A863" s="27" t="n">
        <v>2024</v>
      </c>
      <c r="B863" s="27" t="n">
        <v>9</v>
      </c>
      <c r="C863" s="27" t="s">
        <v>44</v>
      </c>
      <c r="D863" s="27" t="s">
        <v>22</v>
      </c>
      <c r="E863" s="27" t="s">
        <v>52</v>
      </c>
      <c r="F863" s="28" t="n">
        <v>1478</v>
      </c>
      <c r="G863" s="29" t="n">
        <v>3970</v>
      </c>
      <c r="H863" s="29" t="n">
        <f aca="false">F863*G863</f>
        <v>5867660</v>
      </c>
    </row>
    <row r="864" customFormat="false" ht="15" hidden="false" customHeight="false" outlineLevel="0" collapsed="false">
      <c r="A864" s="27" t="n">
        <v>2024</v>
      </c>
      <c r="B864" s="27" t="n">
        <v>9</v>
      </c>
      <c r="C864" s="27" t="s">
        <v>44</v>
      </c>
      <c r="D864" s="27" t="s">
        <v>22</v>
      </c>
      <c r="E864" s="27" t="s">
        <v>54</v>
      </c>
      <c r="F864" s="28" t="n">
        <v>1292</v>
      </c>
      <c r="G864" s="29" t="n">
        <v>3900</v>
      </c>
      <c r="H864" s="29" t="n">
        <f aca="false">F864*G864</f>
        <v>5038800</v>
      </c>
    </row>
    <row r="865" customFormat="false" ht="15" hidden="false" customHeight="false" outlineLevel="0" collapsed="false">
      <c r="A865" s="27" t="n">
        <v>2024</v>
      </c>
      <c r="B865" s="27" t="n">
        <v>9</v>
      </c>
      <c r="C865" s="27" t="s">
        <v>44</v>
      </c>
      <c r="D865" s="27" t="s">
        <v>22</v>
      </c>
      <c r="E865" s="27" t="s">
        <v>56</v>
      </c>
      <c r="F865" s="28" t="n">
        <v>1384</v>
      </c>
      <c r="G865" s="29" t="n">
        <v>3880</v>
      </c>
      <c r="H865" s="29" t="n">
        <f aca="false">F865*G865</f>
        <v>5369920</v>
      </c>
    </row>
    <row r="866" customFormat="false" ht="15" hidden="false" customHeight="false" outlineLevel="0" collapsed="false">
      <c r="A866" s="27" t="n">
        <v>2024</v>
      </c>
      <c r="B866" s="27" t="n">
        <v>9</v>
      </c>
      <c r="C866" s="27" t="s">
        <v>44</v>
      </c>
      <c r="D866" s="27" t="s">
        <v>22</v>
      </c>
      <c r="E866" s="27" t="s">
        <v>58</v>
      </c>
      <c r="F866" s="28" t="n">
        <v>997</v>
      </c>
      <c r="G866" s="29" t="n">
        <v>3900</v>
      </c>
      <c r="H866" s="29" t="n">
        <f aca="false">F866*G866</f>
        <v>3888300</v>
      </c>
    </row>
    <row r="867" customFormat="false" ht="15" hidden="false" customHeight="false" outlineLevel="0" collapsed="false">
      <c r="A867" s="27" t="n">
        <v>2024</v>
      </c>
      <c r="B867" s="27" t="n">
        <v>9</v>
      </c>
      <c r="C867" s="27" t="s">
        <v>44</v>
      </c>
      <c r="D867" s="27" t="s">
        <v>24</v>
      </c>
      <c r="E867" s="27" t="s">
        <v>50</v>
      </c>
      <c r="F867" s="28" t="n">
        <v>1315</v>
      </c>
      <c r="G867" s="29" t="n">
        <v>3630</v>
      </c>
      <c r="H867" s="29" t="n">
        <f aca="false">F867*G867</f>
        <v>4773450</v>
      </c>
    </row>
    <row r="868" customFormat="false" ht="15" hidden="false" customHeight="false" outlineLevel="0" collapsed="false">
      <c r="A868" s="27" t="n">
        <v>2024</v>
      </c>
      <c r="B868" s="27" t="n">
        <v>9</v>
      </c>
      <c r="C868" s="27" t="s">
        <v>44</v>
      </c>
      <c r="D868" s="27" t="s">
        <v>24</v>
      </c>
      <c r="E868" s="27" t="s">
        <v>52</v>
      </c>
      <c r="F868" s="28" t="n">
        <v>817</v>
      </c>
      <c r="G868" s="29" t="n">
        <v>3570</v>
      </c>
      <c r="H868" s="29" t="n">
        <f aca="false">F868*G868</f>
        <v>2916690</v>
      </c>
    </row>
    <row r="869" customFormat="false" ht="15" hidden="false" customHeight="false" outlineLevel="0" collapsed="false">
      <c r="A869" s="27" t="n">
        <v>2024</v>
      </c>
      <c r="B869" s="27" t="n">
        <v>9</v>
      </c>
      <c r="C869" s="27" t="s">
        <v>44</v>
      </c>
      <c r="D869" s="27" t="s">
        <v>24</v>
      </c>
      <c r="E869" s="27" t="s">
        <v>54</v>
      </c>
      <c r="F869" s="28" t="n">
        <v>643</v>
      </c>
      <c r="G869" s="29" t="n">
        <v>3660</v>
      </c>
      <c r="H869" s="29" t="n">
        <f aca="false">F869*G869</f>
        <v>2353380</v>
      </c>
    </row>
    <row r="870" customFormat="false" ht="15" hidden="false" customHeight="false" outlineLevel="0" collapsed="false">
      <c r="A870" s="27" t="n">
        <v>2024</v>
      </c>
      <c r="B870" s="27" t="n">
        <v>9</v>
      </c>
      <c r="C870" s="27" t="s">
        <v>44</v>
      </c>
      <c r="D870" s="27" t="s">
        <v>24</v>
      </c>
      <c r="E870" s="27" t="s">
        <v>56</v>
      </c>
      <c r="F870" s="28" t="n">
        <v>731</v>
      </c>
      <c r="G870" s="29" t="n">
        <v>3620</v>
      </c>
      <c r="H870" s="29" t="n">
        <f aca="false">F870*G870</f>
        <v>2646220</v>
      </c>
    </row>
    <row r="871" customFormat="false" ht="15" hidden="false" customHeight="false" outlineLevel="0" collapsed="false">
      <c r="A871" s="27" t="n">
        <v>2024</v>
      </c>
      <c r="B871" s="27" t="n">
        <v>9</v>
      </c>
      <c r="C871" s="27" t="s">
        <v>44</v>
      </c>
      <c r="D871" s="27" t="s">
        <v>24</v>
      </c>
      <c r="E871" s="27" t="s">
        <v>58</v>
      </c>
      <c r="F871" s="28" t="n">
        <v>515</v>
      </c>
      <c r="G871" s="29" t="n">
        <v>3630</v>
      </c>
      <c r="H871" s="29" t="n">
        <f aca="false">F871*G871</f>
        <v>1869450</v>
      </c>
    </row>
    <row r="872" customFormat="false" ht="15" hidden="false" customHeight="false" outlineLevel="0" collapsed="false">
      <c r="A872" s="27" t="n">
        <v>2024</v>
      </c>
      <c r="B872" s="27" t="n">
        <v>9</v>
      </c>
      <c r="C872" s="27" t="s">
        <v>44</v>
      </c>
      <c r="D872" s="27" t="s">
        <v>26</v>
      </c>
      <c r="E872" s="27" t="s">
        <v>50</v>
      </c>
      <c r="F872" s="28" t="n">
        <v>624</v>
      </c>
      <c r="G872" s="29" t="n">
        <v>4430</v>
      </c>
      <c r="H872" s="29" t="n">
        <f aca="false">F872*G872</f>
        <v>2764320</v>
      </c>
    </row>
    <row r="873" customFormat="false" ht="15" hidden="false" customHeight="false" outlineLevel="0" collapsed="false">
      <c r="A873" s="27" t="n">
        <v>2024</v>
      </c>
      <c r="B873" s="27" t="n">
        <v>9</v>
      </c>
      <c r="C873" s="27" t="s">
        <v>44</v>
      </c>
      <c r="D873" s="27" t="s">
        <v>26</v>
      </c>
      <c r="E873" s="27" t="s">
        <v>52</v>
      </c>
      <c r="F873" s="28" t="n">
        <v>408</v>
      </c>
      <c r="G873" s="29" t="n">
        <v>4310</v>
      </c>
      <c r="H873" s="29" t="n">
        <f aca="false">F873*G873</f>
        <v>1758480</v>
      </c>
    </row>
    <row r="874" customFormat="false" ht="15" hidden="false" customHeight="false" outlineLevel="0" collapsed="false">
      <c r="A874" s="27" t="n">
        <v>2024</v>
      </c>
      <c r="B874" s="27" t="n">
        <v>9</v>
      </c>
      <c r="C874" s="27" t="s">
        <v>44</v>
      </c>
      <c r="D874" s="27" t="s">
        <v>26</v>
      </c>
      <c r="E874" s="27" t="s">
        <v>54</v>
      </c>
      <c r="F874" s="28" t="n">
        <v>329</v>
      </c>
      <c r="G874" s="29" t="n">
        <v>4330</v>
      </c>
      <c r="H874" s="29" t="n">
        <f aca="false">F874*G874</f>
        <v>1424570</v>
      </c>
    </row>
    <row r="875" customFormat="false" ht="15" hidden="false" customHeight="false" outlineLevel="0" collapsed="false">
      <c r="A875" s="27" t="n">
        <v>2024</v>
      </c>
      <c r="B875" s="27" t="n">
        <v>9</v>
      </c>
      <c r="C875" s="27" t="s">
        <v>44</v>
      </c>
      <c r="D875" s="27" t="s">
        <v>26</v>
      </c>
      <c r="E875" s="27" t="s">
        <v>56</v>
      </c>
      <c r="F875" s="28" t="n">
        <v>367</v>
      </c>
      <c r="G875" s="29" t="n">
        <v>4380</v>
      </c>
      <c r="H875" s="29" t="n">
        <f aca="false">F875*G875</f>
        <v>1607460</v>
      </c>
    </row>
    <row r="876" customFormat="false" ht="15" hidden="false" customHeight="false" outlineLevel="0" collapsed="false">
      <c r="A876" s="27" t="n">
        <v>2024</v>
      </c>
      <c r="B876" s="27" t="n">
        <v>9</v>
      </c>
      <c r="C876" s="27" t="s">
        <v>44</v>
      </c>
      <c r="D876" s="27" t="s">
        <v>26</v>
      </c>
      <c r="E876" s="27" t="s">
        <v>58</v>
      </c>
      <c r="F876" s="28" t="n">
        <v>252</v>
      </c>
      <c r="G876" s="29" t="n">
        <v>4410</v>
      </c>
      <c r="H876" s="29" t="n">
        <f aca="false">F876*G876</f>
        <v>1111320</v>
      </c>
    </row>
    <row r="877" customFormat="false" ht="15" hidden="false" customHeight="false" outlineLevel="0" collapsed="false">
      <c r="A877" s="27" t="n">
        <v>2024</v>
      </c>
      <c r="B877" s="27" t="n">
        <v>9</v>
      </c>
      <c r="C877" s="27" t="s">
        <v>44</v>
      </c>
      <c r="D877" s="27" t="s">
        <v>28</v>
      </c>
      <c r="E877" s="27" t="s">
        <v>50</v>
      </c>
      <c r="F877" s="28" t="n">
        <v>235</v>
      </c>
      <c r="G877" s="29" t="n">
        <v>4070</v>
      </c>
      <c r="H877" s="29" t="n">
        <f aca="false">F877*G877</f>
        <v>956450</v>
      </c>
    </row>
    <row r="878" customFormat="false" ht="15" hidden="false" customHeight="false" outlineLevel="0" collapsed="false">
      <c r="A878" s="27" t="n">
        <v>2024</v>
      </c>
      <c r="B878" s="27" t="n">
        <v>9</v>
      </c>
      <c r="C878" s="27" t="s">
        <v>44</v>
      </c>
      <c r="D878" s="27" t="s">
        <v>28</v>
      </c>
      <c r="E878" s="27" t="s">
        <v>52</v>
      </c>
      <c r="F878" s="28" t="n">
        <v>148</v>
      </c>
      <c r="G878" s="29" t="n">
        <v>4070</v>
      </c>
      <c r="H878" s="29" t="n">
        <f aca="false">F878*G878</f>
        <v>602360</v>
      </c>
    </row>
    <row r="879" customFormat="false" ht="15" hidden="false" customHeight="false" outlineLevel="0" collapsed="false">
      <c r="A879" s="27" t="n">
        <v>2024</v>
      </c>
      <c r="B879" s="27" t="n">
        <v>9</v>
      </c>
      <c r="C879" s="27" t="s">
        <v>44</v>
      </c>
      <c r="D879" s="27" t="s">
        <v>28</v>
      </c>
      <c r="E879" s="27" t="s">
        <v>54</v>
      </c>
      <c r="F879" s="28" t="n">
        <v>129</v>
      </c>
      <c r="G879" s="29" t="n">
        <v>4120</v>
      </c>
      <c r="H879" s="29" t="n">
        <f aca="false">F879*G879</f>
        <v>531480</v>
      </c>
    </row>
    <row r="880" customFormat="false" ht="15" hidden="false" customHeight="false" outlineLevel="0" collapsed="false">
      <c r="A880" s="27" t="n">
        <v>2024</v>
      </c>
      <c r="B880" s="27" t="n">
        <v>9</v>
      </c>
      <c r="C880" s="27" t="s">
        <v>44</v>
      </c>
      <c r="D880" s="27" t="s">
        <v>28</v>
      </c>
      <c r="E880" s="27" t="s">
        <v>56</v>
      </c>
      <c r="F880" s="28" t="n">
        <v>158</v>
      </c>
      <c r="G880" s="29" t="n">
        <v>4190</v>
      </c>
      <c r="H880" s="29" t="n">
        <f aca="false">F880*G880</f>
        <v>662020</v>
      </c>
    </row>
    <row r="881" customFormat="false" ht="15" hidden="false" customHeight="false" outlineLevel="0" collapsed="false">
      <c r="A881" s="27" t="n">
        <v>2024</v>
      </c>
      <c r="B881" s="27" t="n">
        <v>9</v>
      </c>
      <c r="C881" s="27" t="s">
        <v>44</v>
      </c>
      <c r="D881" s="27" t="s">
        <v>28</v>
      </c>
      <c r="E881" s="27" t="s">
        <v>58</v>
      </c>
      <c r="F881" s="28" t="n">
        <v>94</v>
      </c>
      <c r="G881" s="29" t="n">
        <v>4100</v>
      </c>
      <c r="H881" s="29" t="n">
        <f aca="false">F881*G881</f>
        <v>385400</v>
      </c>
    </row>
    <row r="882" customFormat="false" ht="15" hidden="false" customHeight="false" outlineLevel="0" collapsed="false">
      <c r="A882" s="27" t="n">
        <v>2024</v>
      </c>
      <c r="B882" s="27" t="n">
        <v>9</v>
      </c>
      <c r="C882" s="27" t="s">
        <v>45</v>
      </c>
      <c r="D882" s="27" t="s">
        <v>22</v>
      </c>
      <c r="E882" s="27" t="s">
        <v>50</v>
      </c>
      <c r="F882" s="28" t="n">
        <v>3070</v>
      </c>
      <c r="G882" s="29" t="n">
        <v>2380</v>
      </c>
      <c r="H882" s="29" t="n">
        <f aca="false">F882*G882</f>
        <v>7306600</v>
      </c>
    </row>
    <row r="883" customFormat="false" ht="15" hidden="false" customHeight="false" outlineLevel="0" collapsed="false">
      <c r="A883" s="27" t="n">
        <v>2024</v>
      </c>
      <c r="B883" s="27" t="n">
        <v>9</v>
      </c>
      <c r="C883" s="27" t="s">
        <v>45</v>
      </c>
      <c r="D883" s="27" t="s">
        <v>22</v>
      </c>
      <c r="E883" s="27" t="s">
        <v>52</v>
      </c>
      <c r="F883" s="28" t="n">
        <v>1974</v>
      </c>
      <c r="G883" s="29" t="n">
        <v>2370</v>
      </c>
      <c r="H883" s="29" t="n">
        <f aca="false">F883*G883</f>
        <v>4678380</v>
      </c>
    </row>
    <row r="884" customFormat="false" ht="15" hidden="false" customHeight="false" outlineLevel="0" collapsed="false">
      <c r="A884" s="27" t="n">
        <v>2024</v>
      </c>
      <c r="B884" s="27" t="n">
        <v>9</v>
      </c>
      <c r="C884" s="27" t="s">
        <v>45</v>
      </c>
      <c r="D884" s="27" t="s">
        <v>22</v>
      </c>
      <c r="E884" s="27" t="s">
        <v>54</v>
      </c>
      <c r="F884" s="28" t="n">
        <v>1545</v>
      </c>
      <c r="G884" s="29" t="n">
        <v>2400</v>
      </c>
      <c r="H884" s="29" t="n">
        <f aca="false">F884*G884</f>
        <v>3708000</v>
      </c>
    </row>
    <row r="885" customFormat="false" ht="15" hidden="false" customHeight="false" outlineLevel="0" collapsed="false">
      <c r="A885" s="27" t="n">
        <v>2024</v>
      </c>
      <c r="B885" s="27" t="n">
        <v>9</v>
      </c>
      <c r="C885" s="27" t="s">
        <v>45</v>
      </c>
      <c r="D885" s="27" t="s">
        <v>22</v>
      </c>
      <c r="E885" s="27" t="s">
        <v>56</v>
      </c>
      <c r="F885" s="28" t="n">
        <v>1819</v>
      </c>
      <c r="G885" s="29" t="n">
        <v>2420</v>
      </c>
      <c r="H885" s="29" t="n">
        <f aca="false">F885*G885</f>
        <v>4401980</v>
      </c>
    </row>
    <row r="886" customFormat="false" ht="15" hidden="false" customHeight="false" outlineLevel="0" collapsed="false">
      <c r="A886" s="27" t="n">
        <v>2024</v>
      </c>
      <c r="B886" s="27" t="n">
        <v>9</v>
      </c>
      <c r="C886" s="27" t="s">
        <v>45</v>
      </c>
      <c r="D886" s="27" t="s">
        <v>22</v>
      </c>
      <c r="E886" s="27" t="s">
        <v>58</v>
      </c>
      <c r="F886" s="28" t="n">
        <v>1264</v>
      </c>
      <c r="G886" s="29" t="n">
        <v>2470</v>
      </c>
      <c r="H886" s="29" t="n">
        <f aca="false">F886*G886</f>
        <v>3122080</v>
      </c>
    </row>
    <row r="887" customFormat="false" ht="15" hidden="false" customHeight="false" outlineLevel="0" collapsed="false">
      <c r="A887" s="27" t="n">
        <v>2024</v>
      </c>
      <c r="B887" s="27" t="n">
        <v>9</v>
      </c>
      <c r="C887" s="27" t="s">
        <v>45</v>
      </c>
      <c r="D887" s="27" t="s">
        <v>24</v>
      </c>
      <c r="E887" s="27" t="s">
        <v>50</v>
      </c>
      <c r="F887" s="28" t="n">
        <v>1721</v>
      </c>
      <c r="G887" s="29" t="n">
        <v>2230</v>
      </c>
      <c r="H887" s="29" t="n">
        <f aca="false">F887*G887</f>
        <v>3837830</v>
      </c>
    </row>
    <row r="888" customFormat="false" ht="15" hidden="false" customHeight="false" outlineLevel="0" collapsed="false">
      <c r="A888" s="27" t="n">
        <v>2024</v>
      </c>
      <c r="B888" s="27" t="n">
        <v>9</v>
      </c>
      <c r="C888" s="27" t="s">
        <v>45</v>
      </c>
      <c r="D888" s="27" t="s">
        <v>24</v>
      </c>
      <c r="E888" s="27" t="s">
        <v>52</v>
      </c>
      <c r="F888" s="28" t="n">
        <v>1029</v>
      </c>
      <c r="G888" s="29" t="n">
        <v>2270</v>
      </c>
      <c r="H888" s="29" t="n">
        <f aca="false">F888*G888</f>
        <v>2335830</v>
      </c>
    </row>
    <row r="889" customFormat="false" ht="15" hidden="false" customHeight="false" outlineLevel="0" collapsed="false">
      <c r="A889" s="27" t="n">
        <v>2024</v>
      </c>
      <c r="B889" s="27" t="n">
        <v>9</v>
      </c>
      <c r="C889" s="27" t="s">
        <v>45</v>
      </c>
      <c r="D889" s="27" t="s">
        <v>24</v>
      </c>
      <c r="E889" s="27" t="s">
        <v>54</v>
      </c>
      <c r="F889" s="28" t="n">
        <v>930</v>
      </c>
      <c r="G889" s="29" t="n">
        <v>2240</v>
      </c>
      <c r="H889" s="29" t="n">
        <f aca="false">F889*G889</f>
        <v>2083200</v>
      </c>
    </row>
    <row r="890" customFormat="false" ht="15" hidden="false" customHeight="false" outlineLevel="0" collapsed="false">
      <c r="A890" s="27" t="n">
        <v>2024</v>
      </c>
      <c r="B890" s="27" t="n">
        <v>9</v>
      </c>
      <c r="C890" s="27" t="s">
        <v>45</v>
      </c>
      <c r="D890" s="27" t="s">
        <v>24</v>
      </c>
      <c r="E890" s="27" t="s">
        <v>56</v>
      </c>
      <c r="F890" s="28" t="n">
        <v>975</v>
      </c>
      <c r="G890" s="29" t="n">
        <v>2240</v>
      </c>
      <c r="H890" s="29" t="n">
        <f aca="false">F890*G890</f>
        <v>2184000</v>
      </c>
    </row>
    <row r="891" customFormat="false" ht="15" hidden="false" customHeight="false" outlineLevel="0" collapsed="false">
      <c r="A891" s="27" t="n">
        <v>2024</v>
      </c>
      <c r="B891" s="27" t="n">
        <v>9</v>
      </c>
      <c r="C891" s="27" t="s">
        <v>45</v>
      </c>
      <c r="D891" s="27" t="s">
        <v>24</v>
      </c>
      <c r="E891" s="27" t="s">
        <v>58</v>
      </c>
      <c r="F891" s="28" t="n">
        <v>675</v>
      </c>
      <c r="G891" s="29" t="n">
        <v>2260</v>
      </c>
      <c r="H891" s="29" t="n">
        <f aca="false">F891*G891</f>
        <v>1525500</v>
      </c>
    </row>
    <row r="892" customFormat="false" ht="15" hidden="false" customHeight="false" outlineLevel="0" collapsed="false">
      <c r="A892" s="27" t="n">
        <v>2024</v>
      </c>
      <c r="B892" s="27" t="n">
        <v>9</v>
      </c>
      <c r="C892" s="27" t="s">
        <v>45</v>
      </c>
      <c r="D892" s="27" t="s">
        <v>26</v>
      </c>
      <c r="E892" s="27" t="s">
        <v>50</v>
      </c>
      <c r="F892" s="28" t="n">
        <v>882</v>
      </c>
      <c r="G892" s="29" t="n">
        <v>2690</v>
      </c>
      <c r="H892" s="29" t="n">
        <f aca="false">F892*G892</f>
        <v>2372580</v>
      </c>
    </row>
    <row r="893" customFormat="false" ht="15" hidden="false" customHeight="false" outlineLevel="0" collapsed="false">
      <c r="A893" s="27" t="n">
        <v>2024</v>
      </c>
      <c r="B893" s="27" t="n">
        <v>9</v>
      </c>
      <c r="C893" s="27" t="s">
        <v>45</v>
      </c>
      <c r="D893" s="27" t="s">
        <v>26</v>
      </c>
      <c r="E893" s="27" t="s">
        <v>52</v>
      </c>
      <c r="F893" s="28" t="n">
        <v>465</v>
      </c>
      <c r="G893" s="29" t="n">
        <v>2660</v>
      </c>
      <c r="H893" s="29" t="n">
        <f aca="false">F893*G893</f>
        <v>1236900</v>
      </c>
    </row>
    <row r="894" customFormat="false" ht="15" hidden="false" customHeight="false" outlineLevel="0" collapsed="false">
      <c r="A894" s="27" t="n">
        <v>2024</v>
      </c>
      <c r="B894" s="27" t="n">
        <v>9</v>
      </c>
      <c r="C894" s="27" t="s">
        <v>45</v>
      </c>
      <c r="D894" s="27" t="s">
        <v>26</v>
      </c>
      <c r="E894" s="27" t="s">
        <v>54</v>
      </c>
      <c r="F894" s="28" t="n">
        <v>439</v>
      </c>
      <c r="G894" s="29" t="n">
        <v>2720</v>
      </c>
      <c r="H894" s="29" t="n">
        <f aca="false">F894*G894</f>
        <v>1194080</v>
      </c>
    </row>
    <row r="895" customFormat="false" ht="15" hidden="false" customHeight="false" outlineLevel="0" collapsed="false">
      <c r="A895" s="27" t="n">
        <v>2024</v>
      </c>
      <c r="B895" s="27" t="n">
        <v>9</v>
      </c>
      <c r="C895" s="27" t="s">
        <v>45</v>
      </c>
      <c r="D895" s="27" t="s">
        <v>26</v>
      </c>
      <c r="E895" s="27" t="s">
        <v>56</v>
      </c>
      <c r="F895" s="28" t="n">
        <v>531</v>
      </c>
      <c r="G895" s="29" t="n">
        <v>2650</v>
      </c>
      <c r="H895" s="29" t="n">
        <f aca="false">F895*G895</f>
        <v>1407150</v>
      </c>
    </row>
    <row r="896" customFormat="false" ht="15" hidden="false" customHeight="false" outlineLevel="0" collapsed="false">
      <c r="A896" s="27" t="n">
        <v>2024</v>
      </c>
      <c r="B896" s="27" t="n">
        <v>9</v>
      </c>
      <c r="C896" s="27" t="s">
        <v>45</v>
      </c>
      <c r="D896" s="27" t="s">
        <v>26</v>
      </c>
      <c r="E896" s="27" t="s">
        <v>58</v>
      </c>
      <c r="F896" s="28" t="n">
        <v>350</v>
      </c>
      <c r="G896" s="29" t="n">
        <v>2720</v>
      </c>
      <c r="H896" s="29" t="n">
        <f aca="false">F896*G896</f>
        <v>952000</v>
      </c>
    </row>
    <row r="897" customFormat="false" ht="15" hidden="false" customHeight="false" outlineLevel="0" collapsed="false">
      <c r="A897" s="27" t="n">
        <v>2024</v>
      </c>
      <c r="B897" s="27" t="n">
        <v>9</v>
      </c>
      <c r="C897" s="27" t="s">
        <v>45</v>
      </c>
      <c r="D897" s="27" t="s">
        <v>28</v>
      </c>
      <c r="E897" s="27" t="s">
        <v>50</v>
      </c>
      <c r="F897" s="28" t="n">
        <v>299</v>
      </c>
      <c r="G897" s="29" t="n">
        <v>2520</v>
      </c>
      <c r="H897" s="29" t="n">
        <f aca="false">F897*G897</f>
        <v>753480</v>
      </c>
    </row>
    <row r="898" customFormat="false" ht="15" hidden="false" customHeight="false" outlineLevel="0" collapsed="false">
      <c r="A898" s="27" t="n">
        <v>2024</v>
      </c>
      <c r="B898" s="27" t="n">
        <v>9</v>
      </c>
      <c r="C898" s="27" t="s">
        <v>45</v>
      </c>
      <c r="D898" s="27" t="s">
        <v>28</v>
      </c>
      <c r="E898" s="27" t="s">
        <v>52</v>
      </c>
      <c r="F898" s="28" t="n">
        <v>207</v>
      </c>
      <c r="G898" s="29" t="n">
        <v>2510</v>
      </c>
      <c r="H898" s="29" t="n">
        <f aca="false">F898*G898</f>
        <v>519570</v>
      </c>
    </row>
    <row r="899" customFormat="false" ht="15" hidden="false" customHeight="false" outlineLevel="0" collapsed="false">
      <c r="A899" s="27" t="n">
        <v>2024</v>
      </c>
      <c r="B899" s="27" t="n">
        <v>9</v>
      </c>
      <c r="C899" s="27" t="s">
        <v>45</v>
      </c>
      <c r="D899" s="27" t="s">
        <v>28</v>
      </c>
      <c r="E899" s="27" t="s">
        <v>54</v>
      </c>
      <c r="F899" s="28" t="n">
        <v>148</v>
      </c>
      <c r="G899" s="29" t="n">
        <v>2510</v>
      </c>
      <c r="H899" s="29" t="n">
        <f aca="false">F899*G899</f>
        <v>371480</v>
      </c>
    </row>
    <row r="900" customFormat="false" ht="15" hidden="false" customHeight="false" outlineLevel="0" collapsed="false">
      <c r="A900" s="27" t="n">
        <v>2024</v>
      </c>
      <c r="B900" s="27" t="n">
        <v>9</v>
      </c>
      <c r="C900" s="27" t="s">
        <v>45</v>
      </c>
      <c r="D900" s="27" t="s">
        <v>28</v>
      </c>
      <c r="E900" s="27" t="s">
        <v>56</v>
      </c>
      <c r="F900" s="28" t="n">
        <v>190</v>
      </c>
      <c r="G900" s="29" t="n">
        <v>2520</v>
      </c>
      <c r="H900" s="29" t="n">
        <f aca="false">F900*G900</f>
        <v>478800</v>
      </c>
    </row>
    <row r="901" customFormat="false" ht="15" hidden="false" customHeight="false" outlineLevel="0" collapsed="false">
      <c r="A901" s="27" t="n">
        <v>2024</v>
      </c>
      <c r="B901" s="27" t="n">
        <v>9</v>
      </c>
      <c r="C901" s="27" t="s">
        <v>45</v>
      </c>
      <c r="D901" s="27" t="s">
        <v>28</v>
      </c>
      <c r="E901" s="27" t="s">
        <v>58</v>
      </c>
      <c r="F901" s="28" t="n">
        <v>129</v>
      </c>
      <c r="G901" s="29" t="n">
        <v>2510</v>
      </c>
      <c r="H901" s="29" t="n">
        <f aca="false">F901*G901</f>
        <v>323790</v>
      </c>
    </row>
    <row r="902" customFormat="false" ht="15" hidden="false" customHeight="false" outlineLevel="0" collapsed="false">
      <c r="A902" s="27" t="n">
        <v>2024</v>
      </c>
      <c r="B902" s="27" t="n">
        <v>10</v>
      </c>
      <c r="C902" s="27" t="s">
        <v>38</v>
      </c>
      <c r="D902" s="27" t="s">
        <v>22</v>
      </c>
      <c r="E902" s="27" t="s">
        <v>50</v>
      </c>
      <c r="F902" s="28" t="n">
        <v>8303</v>
      </c>
      <c r="G902" s="29" t="n">
        <v>2610</v>
      </c>
      <c r="H902" s="29" t="n">
        <f aca="false">F902*G902</f>
        <v>21670830</v>
      </c>
    </row>
    <row r="903" customFormat="false" ht="15" hidden="false" customHeight="false" outlineLevel="0" collapsed="false">
      <c r="A903" s="27" t="n">
        <v>2024</v>
      </c>
      <c r="B903" s="27" t="n">
        <v>10</v>
      </c>
      <c r="C903" s="27" t="s">
        <v>38</v>
      </c>
      <c r="D903" s="27" t="s">
        <v>22</v>
      </c>
      <c r="E903" s="27" t="s">
        <v>52</v>
      </c>
      <c r="F903" s="28" t="n">
        <v>5121</v>
      </c>
      <c r="G903" s="29" t="n">
        <v>2590</v>
      </c>
      <c r="H903" s="29" t="n">
        <f aca="false">F903*G903</f>
        <v>13263390</v>
      </c>
    </row>
    <row r="904" customFormat="false" ht="15" hidden="false" customHeight="false" outlineLevel="0" collapsed="false">
      <c r="A904" s="27" t="n">
        <v>2024</v>
      </c>
      <c r="B904" s="27" t="n">
        <v>10</v>
      </c>
      <c r="C904" s="27" t="s">
        <v>38</v>
      </c>
      <c r="D904" s="27" t="s">
        <v>22</v>
      </c>
      <c r="E904" s="27" t="s">
        <v>54</v>
      </c>
      <c r="F904" s="28" t="n">
        <v>4179</v>
      </c>
      <c r="G904" s="29" t="n">
        <v>2550</v>
      </c>
      <c r="H904" s="29" t="n">
        <f aca="false">F904*G904</f>
        <v>10656450</v>
      </c>
    </row>
    <row r="905" customFormat="false" ht="15" hidden="false" customHeight="false" outlineLevel="0" collapsed="false">
      <c r="A905" s="27" t="n">
        <v>2024</v>
      </c>
      <c r="B905" s="27" t="n">
        <v>10</v>
      </c>
      <c r="C905" s="27" t="s">
        <v>38</v>
      </c>
      <c r="D905" s="27" t="s">
        <v>22</v>
      </c>
      <c r="E905" s="27" t="s">
        <v>56</v>
      </c>
      <c r="F905" s="28" t="n">
        <v>5058</v>
      </c>
      <c r="G905" s="29" t="n">
        <v>2600</v>
      </c>
      <c r="H905" s="29" t="n">
        <f aca="false">F905*G905</f>
        <v>13150800</v>
      </c>
    </row>
    <row r="906" customFormat="false" ht="15" hidden="false" customHeight="false" outlineLevel="0" collapsed="false">
      <c r="A906" s="27" t="n">
        <v>2024</v>
      </c>
      <c r="B906" s="27" t="n">
        <v>10</v>
      </c>
      <c r="C906" s="27" t="s">
        <v>38</v>
      </c>
      <c r="D906" s="27" t="s">
        <v>22</v>
      </c>
      <c r="E906" s="27" t="s">
        <v>58</v>
      </c>
      <c r="F906" s="28" t="n">
        <v>3387</v>
      </c>
      <c r="G906" s="29" t="n">
        <v>2620</v>
      </c>
      <c r="H906" s="29" t="n">
        <f aca="false">F906*G906</f>
        <v>8873940</v>
      </c>
    </row>
    <row r="907" customFormat="false" ht="15" hidden="false" customHeight="false" outlineLevel="0" collapsed="false">
      <c r="A907" s="27" t="n">
        <v>2024</v>
      </c>
      <c r="B907" s="27" t="n">
        <v>10</v>
      </c>
      <c r="C907" s="27" t="s">
        <v>38</v>
      </c>
      <c r="D907" s="27" t="s">
        <v>24</v>
      </c>
      <c r="E907" s="27" t="s">
        <v>50</v>
      </c>
      <c r="F907" s="28" t="n">
        <v>4054</v>
      </c>
      <c r="G907" s="29" t="n">
        <v>2370</v>
      </c>
      <c r="H907" s="29" t="n">
        <f aca="false">F907*G907</f>
        <v>9607980</v>
      </c>
    </row>
    <row r="908" customFormat="false" ht="15" hidden="false" customHeight="false" outlineLevel="0" collapsed="false">
      <c r="A908" s="27" t="n">
        <v>2024</v>
      </c>
      <c r="B908" s="27" t="n">
        <v>10</v>
      </c>
      <c r="C908" s="27" t="s">
        <v>38</v>
      </c>
      <c r="D908" s="27" t="s">
        <v>24</v>
      </c>
      <c r="E908" s="27" t="s">
        <v>52</v>
      </c>
      <c r="F908" s="28" t="n">
        <v>2846</v>
      </c>
      <c r="G908" s="29" t="n">
        <v>2420</v>
      </c>
      <c r="H908" s="29" t="n">
        <f aca="false">F908*G908</f>
        <v>6887320</v>
      </c>
    </row>
    <row r="909" customFormat="false" ht="15" hidden="false" customHeight="false" outlineLevel="0" collapsed="false">
      <c r="A909" s="27" t="n">
        <v>2024</v>
      </c>
      <c r="B909" s="27" t="n">
        <v>10</v>
      </c>
      <c r="C909" s="27" t="s">
        <v>38</v>
      </c>
      <c r="D909" s="27" t="s">
        <v>24</v>
      </c>
      <c r="E909" s="27" t="s">
        <v>54</v>
      </c>
      <c r="F909" s="28" t="n">
        <v>2266</v>
      </c>
      <c r="G909" s="29" t="n">
        <v>2410</v>
      </c>
      <c r="H909" s="29" t="n">
        <f aca="false">F909*G909</f>
        <v>5461060</v>
      </c>
    </row>
    <row r="910" customFormat="false" ht="15" hidden="false" customHeight="false" outlineLevel="0" collapsed="false">
      <c r="A910" s="27" t="n">
        <v>2024</v>
      </c>
      <c r="B910" s="27" t="n">
        <v>10</v>
      </c>
      <c r="C910" s="27" t="s">
        <v>38</v>
      </c>
      <c r="D910" s="27" t="s">
        <v>24</v>
      </c>
      <c r="E910" s="27" t="s">
        <v>56</v>
      </c>
      <c r="F910" s="28" t="n">
        <v>2756</v>
      </c>
      <c r="G910" s="29" t="n">
        <v>2440</v>
      </c>
      <c r="H910" s="29" t="n">
        <f aca="false">F910*G910</f>
        <v>6724640</v>
      </c>
    </row>
    <row r="911" customFormat="false" ht="15" hidden="false" customHeight="false" outlineLevel="0" collapsed="false">
      <c r="A911" s="27" t="n">
        <v>2024</v>
      </c>
      <c r="B911" s="27" t="n">
        <v>10</v>
      </c>
      <c r="C911" s="27" t="s">
        <v>38</v>
      </c>
      <c r="D911" s="27" t="s">
        <v>24</v>
      </c>
      <c r="E911" s="27" t="s">
        <v>58</v>
      </c>
      <c r="F911" s="28" t="n">
        <v>1869</v>
      </c>
      <c r="G911" s="29" t="n">
        <v>2410</v>
      </c>
      <c r="H911" s="29" t="n">
        <f aca="false">F911*G911</f>
        <v>4504290</v>
      </c>
    </row>
    <row r="912" customFormat="false" ht="15" hidden="false" customHeight="false" outlineLevel="0" collapsed="false">
      <c r="A912" s="27" t="n">
        <v>2024</v>
      </c>
      <c r="B912" s="27" t="n">
        <v>10</v>
      </c>
      <c r="C912" s="27" t="s">
        <v>38</v>
      </c>
      <c r="D912" s="27" t="s">
        <v>26</v>
      </c>
      <c r="E912" s="27" t="s">
        <v>50</v>
      </c>
      <c r="F912" s="28" t="n">
        <v>1935</v>
      </c>
      <c r="G912" s="29" t="n">
        <v>2930</v>
      </c>
      <c r="H912" s="29" t="n">
        <f aca="false">F912*G912</f>
        <v>5669550</v>
      </c>
    </row>
    <row r="913" customFormat="false" ht="15" hidden="false" customHeight="false" outlineLevel="0" collapsed="false">
      <c r="A913" s="27" t="n">
        <v>2024</v>
      </c>
      <c r="B913" s="27" t="n">
        <v>10</v>
      </c>
      <c r="C913" s="27" t="s">
        <v>38</v>
      </c>
      <c r="D913" s="27" t="s">
        <v>26</v>
      </c>
      <c r="E913" s="27" t="s">
        <v>52</v>
      </c>
      <c r="F913" s="28" t="n">
        <v>1435</v>
      </c>
      <c r="G913" s="29" t="n">
        <v>2930</v>
      </c>
      <c r="H913" s="29" t="n">
        <f aca="false">F913*G913</f>
        <v>4204550</v>
      </c>
    </row>
    <row r="914" customFormat="false" ht="15" hidden="false" customHeight="false" outlineLevel="0" collapsed="false">
      <c r="A914" s="27" t="n">
        <v>2024</v>
      </c>
      <c r="B914" s="27" t="n">
        <v>10</v>
      </c>
      <c r="C914" s="27" t="s">
        <v>38</v>
      </c>
      <c r="D914" s="27" t="s">
        <v>26</v>
      </c>
      <c r="E914" s="27" t="s">
        <v>54</v>
      </c>
      <c r="F914" s="28" t="n">
        <v>1034</v>
      </c>
      <c r="G914" s="29" t="n">
        <v>2930</v>
      </c>
      <c r="H914" s="29" t="n">
        <f aca="false">F914*G914</f>
        <v>3029620</v>
      </c>
    </row>
    <row r="915" customFormat="false" ht="15" hidden="false" customHeight="false" outlineLevel="0" collapsed="false">
      <c r="A915" s="27" t="n">
        <v>2024</v>
      </c>
      <c r="B915" s="27" t="n">
        <v>10</v>
      </c>
      <c r="C915" s="27" t="s">
        <v>38</v>
      </c>
      <c r="D915" s="27" t="s">
        <v>26</v>
      </c>
      <c r="E915" s="27" t="s">
        <v>56</v>
      </c>
      <c r="F915" s="28" t="n">
        <v>1340</v>
      </c>
      <c r="G915" s="29" t="n">
        <v>2960</v>
      </c>
      <c r="H915" s="29" t="n">
        <f aca="false">F915*G915</f>
        <v>3966400</v>
      </c>
    </row>
    <row r="916" customFormat="false" ht="15" hidden="false" customHeight="false" outlineLevel="0" collapsed="false">
      <c r="A916" s="27" t="n">
        <v>2024</v>
      </c>
      <c r="B916" s="27" t="n">
        <v>10</v>
      </c>
      <c r="C916" s="27" t="s">
        <v>38</v>
      </c>
      <c r="D916" s="27" t="s">
        <v>26</v>
      </c>
      <c r="E916" s="27" t="s">
        <v>58</v>
      </c>
      <c r="F916" s="28" t="n">
        <v>840</v>
      </c>
      <c r="G916" s="29" t="n">
        <v>2910</v>
      </c>
      <c r="H916" s="29" t="n">
        <f aca="false">F916*G916</f>
        <v>2444400</v>
      </c>
    </row>
    <row r="917" customFormat="false" ht="15" hidden="false" customHeight="false" outlineLevel="0" collapsed="false">
      <c r="A917" s="27" t="n">
        <v>2024</v>
      </c>
      <c r="B917" s="27" t="n">
        <v>10</v>
      </c>
      <c r="C917" s="27" t="s">
        <v>38</v>
      </c>
      <c r="D917" s="27" t="s">
        <v>28</v>
      </c>
      <c r="E917" s="27" t="s">
        <v>50</v>
      </c>
      <c r="F917" s="28" t="n">
        <v>863</v>
      </c>
      <c r="G917" s="29" t="n">
        <v>2730</v>
      </c>
      <c r="H917" s="29" t="n">
        <f aca="false">F917*G917</f>
        <v>2355990</v>
      </c>
    </row>
    <row r="918" customFormat="false" ht="15" hidden="false" customHeight="false" outlineLevel="0" collapsed="false">
      <c r="A918" s="27" t="n">
        <v>2024</v>
      </c>
      <c r="B918" s="27" t="n">
        <v>10</v>
      </c>
      <c r="C918" s="27" t="s">
        <v>38</v>
      </c>
      <c r="D918" s="27" t="s">
        <v>28</v>
      </c>
      <c r="E918" s="27" t="s">
        <v>52</v>
      </c>
      <c r="F918" s="28" t="n">
        <v>491</v>
      </c>
      <c r="G918" s="29" t="n">
        <v>2740</v>
      </c>
      <c r="H918" s="29" t="n">
        <f aca="false">F918*G918</f>
        <v>1345340</v>
      </c>
    </row>
    <row r="919" customFormat="false" ht="15" hidden="false" customHeight="false" outlineLevel="0" collapsed="false">
      <c r="A919" s="27" t="n">
        <v>2024</v>
      </c>
      <c r="B919" s="27" t="n">
        <v>10</v>
      </c>
      <c r="C919" s="27" t="s">
        <v>38</v>
      </c>
      <c r="D919" s="27" t="s">
        <v>28</v>
      </c>
      <c r="E919" s="27" t="s">
        <v>54</v>
      </c>
      <c r="F919" s="28" t="n">
        <v>428</v>
      </c>
      <c r="G919" s="29" t="n">
        <v>2730</v>
      </c>
      <c r="H919" s="29" t="n">
        <f aca="false">F919*G919</f>
        <v>1168440</v>
      </c>
    </row>
    <row r="920" customFormat="false" ht="15" hidden="false" customHeight="false" outlineLevel="0" collapsed="false">
      <c r="A920" s="27" t="n">
        <v>2024</v>
      </c>
      <c r="B920" s="27" t="n">
        <v>10</v>
      </c>
      <c r="C920" s="27" t="s">
        <v>38</v>
      </c>
      <c r="D920" s="27" t="s">
        <v>28</v>
      </c>
      <c r="E920" s="27" t="s">
        <v>56</v>
      </c>
      <c r="F920" s="28" t="n">
        <v>499</v>
      </c>
      <c r="G920" s="29" t="n">
        <v>2720</v>
      </c>
      <c r="H920" s="29" t="n">
        <f aca="false">F920*G920</f>
        <v>1357280</v>
      </c>
    </row>
    <row r="921" customFormat="false" ht="15" hidden="false" customHeight="false" outlineLevel="0" collapsed="false">
      <c r="A921" s="27" t="n">
        <v>2024</v>
      </c>
      <c r="B921" s="27" t="n">
        <v>10</v>
      </c>
      <c r="C921" s="27" t="s">
        <v>38</v>
      </c>
      <c r="D921" s="27" t="s">
        <v>28</v>
      </c>
      <c r="E921" s="27" t="s">
        <v>58</v>
      </c>
      <c r="F921" s="28" t="n">
        <v>363</v>
      </c>
      <c r="G921" s="29" t="n">
        <v>2710</v>
      </c>
      <c r="H921" s="29" t="n">
        <f aca="false">F921*G921</f>
        <v>983730</v>
      </c>
    </row>
    <row r="922" customFormat="false" ht="15" hidden="false" customHeight="false" outlineLevel="0" collapsed="false">
      <c r="A922" s="27" t="n">
        <v>2024</v>
      </c>
      <c r="B922" s="27" t="n">
        <v>10</v>
      </c>
      <c r="C922" s="27" t="s">
        <v>40</v>
      </c>
      <c r="D922" s="27" t="s">
        <v>22</v>
      </c>
      <c r="E922" s="27" t="s">
        <v>50</v>
      </c>
      <c r="F922" s="28" t="n">
        <v>5007</v>
      </c>
      <c r="G922" s="29" t="n">
        <v>2300</v>
      </c>
      <c r="H922" s="29" t="n">
        <f aca="false">F922*G922</f>
        <v>11516100</v>
      </c>
    </row>
    <row r="923" customFormat="false" ht="15" hidden="false" customHeight="false" outlineLevel="0" collapsed="false">
      <c r="A923" s="27" t="n">
        <v>2024</v>
      </c>
      <c r="B923" s="27" t="n">
        <v>10</v>
      </c>
      <c r="C923" s="27" t="s">
        <v>40</v>
      </c>
      <c r="D923" s="27" t="s">
        <v>22</v>
      </c>
      <c r="E923" s="27" t="s">
        <v>52</v>
      </c>
      <c r="F923" s="28" t="n">
        <v>3366</v>
      </c>
      <c r="G923" s="29" t="n">
        <v>2270</v>
      </c>
      <c r="H923" s="29" t="n">
        <f aca="false">F923*G923</f>
        <v>7640820</v>
      </c>
    </row>
    <row r="924" customFormat="false" ht="15" hidden="false" customHeight="false" outlineLevel="0" collapsed="false">
      <c r="A924" s="27" t="n">
        <v>2024</v>
      </c>
      <c r="B924" s="27" t="n">
        <v>10</v>
      </c>
      <c r="C924" s="27" t="s">
        <v>40</v>
      </c>
      <c r="D924" s="27" t="s">
        <v>22</v>
      </c>
      <c r="E924" s="27" t="s">
        <v>54</v>
      </c>
      <c r="F924" s="28" t="n">
        <v>2410</v>
      </c>
      <c r="G924" s="29" t="n">
        <v>2250</v>
      </c>
      <c r="H924" s="29" t="n">
        <f aca="false">F924*G924</f>
        <v>5422500</v>
      </c>
    </row>
    <row r="925" customFormat="false" ht="15" hidden="false" customHeight="false" outlineLevel="0" collapsed="false">
      <c r="A925" s="27" t="n">
        <v>2024</v>
      </c>
      <c r="B925" s="27" t="n">
        <v>10</v>
      </c>
      <c r="C925" s="27" t="s">
        <v>40</v>
      </c>
      <c r="D925" s="27" t="s">
        <v>22</v>
      </c>
      <c r="E925" s="27" t="s">
        <v>56</v>
      </c>
      <c r="F925" s="28" t="n">
        <v>3068</v>
      </c>
      <c r="G925" s="29" t="n">
        <v>2270</v>
      </c>
      <c r="H925" s="29" t="n">
        <f aca="false">F925*G925</f>
        <v>6964360</v>
      </c>
    </row>
    <row r="926" customFormat="false" ht="15" hidden="false" customHeight="false" outlineLevel="0" collapsed="false">
      <c r="A926" s="27" t="n">
        <v>2024</v>
      </c>
      <c r="B926" s="27" t="n">
        <v>10</v>
      </c>
      <c r="C926" s="27" t="s">
        <v>40</v>
      </c>
      <c r="D926" s="27" t="s">
        <v>22</v>
      </c>
      <c r="E926" s="27" t="s">
        <v>58</v>
      </c>
      <c r="F926" s="28" t="n">
        <v>2055</v>
      </c>
      <c r="G926" s="29" t="n">
        <v>2320</v>
      </c>
      <c r="H926" s="29" t="n">
        <f aca="false">F926*G926</f>
        <v>4767600</v>
      </c>
    </row>
    <row r="927" customFormat="false" ht="15" hidden="false" customHeight="false" outlineLevel="0" collapsed="false">
      <c r="A927" s="27" t="n">
        <v>2024</v>
      </c>
      <c r="B927" s="27" t="n">
        <v>10</v>
      </c>
      <c r="C927" s="27" t="s">
        <v>40</v>
      </c>
      <c r="D927" s="27" t="s">
        <v>24</v>
      </c>
      <c r="E927" s="27" t="s">
        <v>50</v>
      </c>
      <c r="F927" s="28" t="n">
        <v>2696</v>
      </c>
      <c r="G927" s="29" t="n">
        <v>2140</v>
      </c>
      <c r="H927" s="29" t="n">
        <f aca="false">F927*G927</f>
        <v>5769440</v>
      </c>
    </row>
    <row r="928" customFormat="false" ht="15" hidden="false" customHeight="false" outlineLevel="0" collapsed="false">
      <c r="A928" s="27" t="n">
        <v>2024</v>
      </c>
      <c r="B928" s="27" t="n">
        <v>10</v>
      </c>
      <c r="C928" s="27" t="s">
        <v>40</v>
      </c>
      <c r="D928" s="27" t="s">
        <v>24</v>
      </c>
      <c r="E928" s="27" t="s">
        <v>52</v>
      </c>
      <c r="F928" s="28" t="n">
        <v>1715</v>
      </c>
      <c r="G928" s="29" t="n">
        <v>2150</v>
      </c>
      <c r="H928" s="29" t="n">
        <f aca="false">F928*G928</f>
        <v>3687250</v>
      </c>
    </row>
    <row r="929" customFormat="false" ht="15" hidden="false" customHeight="false" outlineLevel="0" collapsed="false">
      <c r="A929" s="27" t="n">
        <v>2024</v>
      </c>
      <c r="B929" s="27" t="n">
        <v>10</v>
      </c>
      <c r="C929" s="27" t="s">
        <v>40</v>
      </c>
      <c r="D929" s="27" t="s">
        <v>24</v>
      </c>
      <c r="E929" s="27" t="s">
        <v>54</v>
      </c>
      <c r="F929" s="28" t="n">
        <v>1426</v>
      </c>
      <c r="G929" s="29" t="n">
        <v>2120</v>
      </c>
      <c r="H929" s="29" t="n">
        <f aca="false">F929*G929</f>
        <v>3023120</v>
      </c>
    </row>
    <row r="930" customFormat="false" ht="15" hidden="false" customHeight="false" outlineLevel="0" collapsed="false">
      <c r="A930" s="27" t="n">
        <v>2024</v>
      </c>
      <c r="B930" s="27" t="n">
        <v>10</v>
      </c>
      <c r="C930" s="27" t="s">
        <v>40</v>
      </c>
      <c r="D930" s="27" t="s">
        <v>24</v>
      </c>
      <c r="E930" s="27" t="s">
        <v>56</v>
      </c>
      <c r="F930" s="28" t="n">
        <v>1640</v>
      </c>
      <c r="G930" s="29" t="n">
        <v>2160</v>
      </c>
      <c r="H930" s="29" t="n">
        <f aca="false">F930*G930</f>
        <v>3542400</v>
      </c>
    </row>
    <row r="931" customFormat="false" ht="15" hidden="false" customHeight="false" outlineLevel="0" collapsed="false">
      <c r="A931" s="27" t="n">
        <v>2024</v>
      </c>
      <c r="B931" s="27" t="n">
        <v>10</v>
      </c>
      <c r="C931" s="27" t="s">
        <v>40</v>
      </c>
      <c r="D931" s="27" t="s">
        <v>24</v>
      </c>
      <c r="E931" s="27" t="s">
        <v>58</v>
      </c>
      <c r="F931" s="28" t="n">
        <v>1154</v>
      </c>
      <c r="G931" s="29" t="n">
        <v>2110</v>
      </c>
      <c r="H931" s="29" t="n">
        <f aca="false">F931*G931</f>
        <v>2434940</v>
      </c>
    </row>
    <row r="932" customFormat="false" ht="15" hidden="false" customHeight="false" outlineLevel="0" collapsed="false">
      <c r="A932" s="27" t="n">
        <v>2024</v>
      </c>
      <c r="B932" s="27" t="n">
        <v>10</v>
      </c>
      <c r="C932" s="27" t="s">
        <v>40</v>
      </c>
      <c r="D932" s="27" t="s">
        <v>26</v>
      </c>
      <c r="E932" s="27" t="s">
        <v>50</v>
      </c>
      <c r="F932" s="28" t="n">
        <v>1385</v>
      </c>
      <c r="G932" s="29" t="n">
        <v>2550</v>
      </c>
      <c r="H932" s="29" t="n">
        <f aca="false">F932*G932</f>
        <v>3531750</v>
      </c>
    </row>
    <row r="933" customFormat="false" ht="15" hidden="false" customHeight="false" outlineLevel="0" collapsed="false">
      <c r="A933" s="27" t="n">
        <v>2024</v>
      </c>
      <c r="B933" s="27" t="n">
        <v>10</v>
      </c>
      <c r="C933" s="27" t="s">
        <v>40</v>
      </c>
      <c r="D933" s="27" t="s">
        <v>26</v>
      </c>
      <c r="E933" s="27" t="s">
        <v>52</v>
      </c>
      <c r="F933" s="28" t="n">
        <v>897</v>
      </c>
      <c r="G933" s="29" t="n">
        <v>2600</v>
      </c>
      <c r="H933" s="29" t="n">
        <f aca="false">F933*G933</f>
        <v>2332200</v>
      </c>
    </row>
    <row r="934" customFormat="false" ht="15" hidden="false" customHeight="false" outlineLevel="0" collapsed="false">
      <c r="A934" s="27" t="n">
        <v>2024</v>
      </c>
      <c r="B934" s="27" t="n">
        <v>10</v>
      </c>
      <c r="C934" s="27" t="s">
        <v>40</v>
      </c>
      <c r="D934" s="27" t="s">
        <v>26</v>
      </c>
      <c r="E934" s="27" t="s">
        <v>54</v>
      </c>
      <c r="F934" s="28" t="n">
        <v>680</v>
      </c>
      <c r="G934" s="29" t="n">
        <v>2580</v>
      </c>
      <c r="H934" s="29" t="n">
        <f aca="false">F934*G934</f>
        <v>1754400</v>
      </c>
    </row>
    <row r="935" customFormat="false" ht="15" hidden="false" customHeight="false" outlineLevel="0" collapsed="false">
      <c r="A935" s="27" t="n">
        <v>2024</v>
      </c>
      <c r="B935" s="27" t="n">
        <v>10</v>
      </c>
      <c r="C935" s="27" t="s">
        <v>40</v>
      </c>
      <c r="D935" s="27" t="s">
        <v>26</v>
      </c>
      <c r="E935" s="27" t="s">
        <v>56</v>
      </c>
      <c r="F935" s="28" t="n">
        <v>788</v>
      </c>
      <c r="G935" s="29" t="n">
        <v>2590</v>
      </c>
      <c r="H935" s="29" t="n">
        <f aca="false">F935*G935</f>
        <v>2040920</v>
      </c>
    </row>
    <row r="936" customFormat="false" ht="15" hidden="false" customHeight="false" outlineLevel="0" collapsed="false">
      <c r="A936" s="27" t="n">
        <v>2024</v>
      </c>
      <c r="B936" s="27" t="n">
        <v>10</v>
      </c>
      <c r="C936" s="27" t="s">
        <v>40</v>
      </c>
      <c r="D936" s="27" t="s">
        <v>26</v>
      </c>
      <c r="E936" s="27" t="s">
        <v>58</v>
      </c>
      <c r="F936" s="28" t="n">
        <v>535</v>
      </c>
      <c r="G936" s="29" t="n">
        <v>2580</v>
      </c>
      <c r="H936" s="29" t="n">
        <f aca="false">F936*G936</f>
        <v>1380300</v>
      </c>
    </row>
    <row r="937" customFormat="false" ht="15" hidden="false" customHeight="false" outlineLevel="0" collapsed="false">
      <c r="A937" s="27" t="n">
        <v>2024</v>
      </c>
      <c r="B937" s="27" t="n">
        <v>10</v>
      </c>
      <c r="C937" s="27" t="s">
        <v>40</v>
      </c>
      <c r="D937" s="27" t="s">
        <v>28</v>
      </c>
      <c r="E937" s="27" t="s">
        <v>50</v>
      </c>
      <c r="F937" s="28" t="n">
        <v>538</v>
      </c>
      <c r="G937" s="29" t="n">
        <v>2400</v>
      </c>
      <c r="H937" s="29" t="n">
        <f aca="false">F937*G937</f>
        <v>1291200</v>
      </c>
    </row>
    <row r="938" customFormat="false" ht="15" hidden="false" customHeight="false" outlineLevel="0" collapsed="false">
      <c r="A938" s="27" t="n">
        <v>2024</v>
      </c>
      <c r="B938" s="27" t="n">
        <v>10</v>
      </c>
      <c r="C938" s="27" t="s">
        <v>40</v>
      </c>
      <c r="D938" s="27" t="s">
        <v>28</v>
      </c>
      <c r="E938" s="27" t="s">
        <v>52</v>
      </c>
      <c r="F938" s="28" t="n">
        <v>312</v>
      </c>
      <c r="G938" s="29" t="n">
        <v>2390</v>
      </c>
      <c r="H938" s="29" t="n">
        <f aca="false">F938*G938</f>
        <v>745680</v>
      </c>
    </row>
    <row r="939" customFormat="false" ht="15" hidden="false" customHeight="false" outlineLevel="0" collapsed="false">
      <c r="A939" s="27" t="n">
        <v>2024</v>
      </c>
      <c r="B939" s="27" t="n">
        <v>10</v>
      </c>
      <c r="C939" s="27" t="s">
        <v>40</v>
      </c>
      <c r="D939" s="27" t="s">
        <v>28</v>
      </c>
      <c r="E939" s="27" t="s">
        <v>54</v>
      </c>
      <c r="F939" s="28" t="n">
        <v>244</v>
      </c>
      <c r="G939" s="29" t="n">
        <v>2370</v>
      </c>
      <c r="H939" s="29" t="n">
        <f aca="false">F939*G939</f>
        <v>578280</v>
      </c>
    </row>
    <row r="940" customFormat="false" ht="15" hidden="false" customHeight="false" outlineLevel="0" collapsed="false">
      <c r="A940" s="27" t="n">
        <v>2024</v>
      </c>
      <c r="B940" s="27" t="n">
        <v>10</v>
      </c>
      <c r="C940" s="27" t="s">
        <v>40</v>
      </c>
      <c r="D940" s="27" t="s">
        <v>28</v>
      </c>
      <c r="E940" s="27" t="s">
        <v>56</v>
      </c>
      <c r="F940" s="28" t="n">
        <v>317</v>
      </c>
      <c r="G940" s="29" t="n">
        <v>2460</v>
      </c>
      <c r="H940" s="29" t="n">
        <f aca="false">F940*G940</f>
        <v>779820</v>
      </c>
    </row>
    <row r="941" customFormat="false" ht="15" hidden="false" customHeight="false" outlineLevel="0" collapsed="false">
      <c r="A941" s="27" t="n">
        <v>2024</v>
      </c>
      <c r="B941" s="27" t="n">
        <v>10</v>
      </c>
      <c r="C941" s="27" t="s">
        <v>40</v>
      </c>
      <c r="D941" s="27" t="s">
        <v>28</v>
      </c>
      <c r="E941" s="27" t="s">
        <v>58</v>
      </c>
      <c r="F941" s="28" t="n">
        <v>224</v>
      </c>
      <c r="G941" s="29" t="n">
        <v>2380</v>
      </c>
      <c r="H941" s="29" t="n">
        <f aca="false">F941*G941</f>
        <v>533120</v>
      </c>
    </row>
    <row r="942" customFormat="false" ht="15" hidden="false" customHeight="false" outlineLevel="0" collapsed="false">
      <c r="A942" s="27" t="n">
        <v>2024</v>
      </c>
      <c r="B942" s="27" t="n">
        <v>10</v>
      </c>
      <c r="C942" s="27" t="s">
        <v>42</v>
      </c>
      <c r="D942" s="27" t="s">
        <v>22</v>
      </c>
      <c r="E942" s="27" t="s">
        <v>50</v>
      </c>
      <c r="F942" s="28" t="n">
        <v>4742</v>
      </c>
      <c r="G942" s="29" t="n">
        <v>2130</v>
      </c>
      <c r="H942" s="29" t="n">
        <f aca="false">F942*G942</f>
        <v>10100460</v>
      </c>
    </row>
    <row r="943" customFormat="false" ht="15" hidden="false" customHeight="false" outlineLevel="0" collapsed="false">
      <c r="A943" s="27" t="n">
        <v>2024</v>
      </c>
      <c r="B943" s="27" t="n">
        <v>10</v>
      </c>
      <c r="C943" s="27" t="s">
        <v>42</v>
      </c>
      <c r="D943" s="27" t="s">
        <v>22</v>
      </c>
      <c r="E943" s="27" t="s">
        <v>52</v>
      </c>
      <c r="F943" s="28" t="n">
        <v>2795</v>
      </c>
      <c r="G943" s="29" t="n">
        <v>2100</v>
      </c>
      <c r="H943" s="29" t="n">
        <f aca="false">F943*G943</f>
        <v>5869500</v>
      </c>
    </row>
    <row r="944" customFormat="false" ht="15" hidden="false" customHeight="false" outlineLevel="0" collapsed="false">
      <c r="A944" s="27" t="n">
        <v>2024</v>
      </c>
      <c r="B944" s="27" t="n">
        <v>10</v>
      </c>
      <c r="C944" s="27" t="s">
        <v>42</v>
      </c>
      <c r="D944" s="27" t="s">
        <v>22</v>
      </c>
      <c r="E944" s="27" t="s">
        <v>54</v>
      </c>
      <c r="F944" s="28" t="n">
        <v>2058</v>
      </c>
      <c r="G944" s="29" t="n">
        <v>2110</v>
      </c>
      <c r="H944" s="29" t="n">
        <f aca="false">F944*G944</f>
        <v>4342380</v>
      </c>
    </row>
    <row r="945" customFormat="false" ht="15" hidden="false" customHeight="false" outlineLevel="0" collapsed="false">
      <c r="A945" s="27" t="n">
        <v>2024</v>
      </c>
      <c r="B945" s="27" t="n">
        <v>10</v>
      </c>
      <c r="C945" s="27" t="s">
        <v>42</v>
      </c>
      <c r="D945" s="27" t="s">
        <v>22</v>
      </c>
      <c r="E945" s="27" t="s">
        <v>56</v>
      </c>
      <c r="F945" s="28" t="n">
        <v>2573</v>
      </c>
      <c r="G945" s="29" t="n">
        <v>2100</v>
      </c>
      <c r="H945" s="29" t="n">
        <f aca="false">F945*G945</f>
        <v>5403300</v>
      </c>
    </row>
    <row r="946" customFormat="false" ht="15" hidden="false" customHeight="false" outlineLevel="0" collapsed="false">
      <c r="A946" s="27" t="n">
        <v>2024</v>
      </c>
      <c r="B946" s="27" t="n">
        <v>10</v>
      </c>
      <c r="C946" s="27" t="s">
        <v>42</v>
      </c>
      <c r="D946" s="27" t="s">
        <v>22</v>
      </c>
      <c r="E946" s="27" t="s">
        <v>58</v>
      </c>
      <c r="F946" s="28" t="n">
        <v>1714</v>
      </c>
      <c r="G946" s="29" t="n">
        <v>2110</v>
      </c>
      <c r="H946" s="29" t="n">
        <f aca="false">F946*G946</f>
        <v>3616540</v>
      </c>
    </row>
    <row r="947" customFormat="false" ht="15" hidden="false" customHeight="false" outlineLevel="0" collapsed="false">
      <c r="A947" s="27" t="n">
        <v>2024</v>
      </c>
      <c r="B947" s="27" t="n">
        <v>10</v>
      </c>
      <c r="C947" s="27" t="s">
        <v>42</v>
      </c>
      <c r="D947" s="27" t="s">
        <v>24</v>
      </c>
      <c r="E947" s="27" t="s">
        <v>50</v>
      </c>
      <c r="F947" s="28" t="n">
        <v>2598</v>
      </c>
      <c r="G947" s="29" t="n">
        <v>1940</v>
      </c>
      <c r="H947" s="29" t="n">
        <f aca="false">F947*G947</f>
        <v>5040120</v>
      </c>
    </row>
    <row r="948" customFormat="false" ht="15" hidden="false" customHeight="false" outlineLevel="0" collapsed="false">
      <c r="A948" s="27" t="n">
        <v>2024</v>
      </c>
      <c r="B948" s="27" t="n">
        <v>10</v>
      </c>
      <c r="C948" s="27" t="s">
        <v>42</v>
      </c>
      <c r="D948" s="27" t="s">
        <v>24</v>
      </c>
      <c r="E948" s="27" t="s">
        <v>52</v>
      </c>
      <c r="F948" s="28" t="n">
        <v>1457</v>
      </c>
      <c r="G948" s="29" t="n">
        <v>1910</v>
      </c>
      <c r="H948" s="29" t="n">
        <f aca="false">F948*G948</f>
        <v>2782870</v>
      </c>
    </row>
    <row r="949" customFormat="false" ht="15" hidden="false" customHeight="false" outlineLevel="0" collapsed="false">
      <c r="A949" s="27" t="n">
        <v>2024</v>
      </c>
      <c r="B949" s="27" t="n">
        <v>10</v>
      </c>
      <c r="C949" s="27" t="s">
        <v>42</v>
      </c>
      <c r="D949" s="27" t="s">
        <v>24</v>
      </c>
      <c r="E949" s="27" t="s">
        <v>54</v>
      </c>
      <c r="F949" s="28" t="n">
        <v>1219</v>
      </c>
      <c r="G949" s="29" t="n">
        <v>1940</v>
      </c>
      <c r="H949" s="29" t="n">
        <f aca="false">F949*G949</f>
        <v>2364860</v>
      </c>
    </row>
    <row r="950" customFormat="false" ht="15" hidden="false" customHeight="false" outlineLevel="0" collapsed="false">
      <c r="A950" s="27" t="n">
        <v>2024</v>
      </c>
      <c r="B950" s="27" t="n">
        <v>10</v>
      </c>
      <c r="C950" s="27" t="s">
        <v>42</v>
      </c>
      <c r="D950" s="27" t="s">
        <v>24</v>
      </c>
      <c r="E950" s="27" t="s">
        <v>56</v>
      </c>
      <c r="F950" s="28" t="n">
        <v>1353</v>
      </c>
      <c r="G950" s="29" t="n">
        <v>1960</v>
      </c>
      <c r="H950" s="29" t="n">
        <f aca="false">F950*G950</f>
        <v>2651880</v>
      </c>
    </row>
    <row r="951" customFormat="false" ht="15" hidden="false" customHeight="false" outlineLevel="0" collapsed="false">
      <c r="A951" s="27" t="n">
        <v>2024</v>
      </c>
      <c r="B951" s="27" t="n">
        <v>10</v>
      </c>
      <c r="C951" s="27" t="s">
        <v>42</v>
      </c>
      <c r="D951" s="27" t="s">
        <v>24</v>
      </c>
      <c r="E951" s="27" t="s">
        <v>58</v>
      </c>
      <c r="F951" s="28" t="n">
        <v>981</v>
      </c>
      <c r="G951" s="29" t="n">
        <v>1930</v>
      </c>
      <c r="H951" s="29" t="n">
        <f aca="false">F951*G951</f>
        <v>1893330</v>
      </c>
    </row>
    <row r="952" customFormat="false" ht="15" hidden="false" customHeight="false" outlineLevel="0" collapsed="false">
      <c r="A952" s="27" t="n">
        <v>2024</v>
      </c>
      <c r="B952" s="27" t="n">
        <v>10</v>
      </c>
      <c r="C952" s="27" t="s">
        <v>42</v>
      </c>
      <c r="D952" s="27" t="s">
        <v>26</v>
      </c>
      <c r="E952" s="27" t="s">
        <v>50</v>
      </c>
      <c r="F952" s="28" t="n">
        <v>1157</v>
      </c>
      <c r="G952" s="29" t="n">
        <v>2380</v>
      </c>
      <c r="H952" s="29" t="n">
        <f aca="false">F952*G952</f>
        <v>2753660</v>
      </c>
    </row>
    <row r="953" customFormat="false" ht="15" hidden="false" customHeight="false" outlineLevel="0" collapsed="false">
      <c r="A953" s="27" t="n">
        <v>2024</v>
      </c>
      <c r="B953" s="27" t="n">
        <v>10</v>
      </c>
      <c r="C953" s="27" t="s">
        <v>42</v>
      </c>
      <c r="D953" s="27" t="s">
        <v>26</v>
      </c>
      <c r="E953" s="27" t="s">
        <v>52</v>
      </c>
      <c r="F953" s="28" t="n">
        <v>766</v>
      </c>
      <c r="G953" s="29" t="n">
        <v>2350</v>
      </c>
      <c r="H953" s="29" t="n">
        <f aca="false">F953*G953</f>
        <v>1800100</v>
      </c>
    </row>
    <row r="954" customFormat="false" ht="15" hidden="false" customHeight="false" outlineLevel="0" collapsed="false">
      <c r="A954" s="27" t="n">
        <v>2024</v>
      </c>
      <c r="B954" s="27" t="n">
        <v>10</v>
      </c>
      <c r="C954" s="27" t="s">
        <v>42</v>
      </c>
      <c r="D954" s="27" t="s">
        <v>26</v>
      </c>
      <c r="E954" s="27" t="s">
        <v>54</v>
      </c>
      <c r="F954" s="28" t="n">
        <v>613</v>
      </c>
      <c r="G954" s="29" t="n">
        <v>2320</v>
      </c>
      <c r="H954" s="29" t="n">
        <f aca="false">F954*G954</f>
        <v>1422160</v>
      </c>
    </row>
    <row r="955" customFormat="false" ht="15" hidden="false" customHeight="false" outlineLevel="0" collapsed="false">
      <c r="A955" s="27" t="n">
        <v>2024</v>
      </c>
      <c r="B955" s="27" t="n">
        <v>10</v>
      </c>
      <c r="C955" s="27" t="s">
        <v>42</v>
      </c>
      <c r="D955" s="27" t="s">
        <v>26</v>
      </c>
      <c r="E955" s="27" t="s">
        <v>56</v>
      </c>
      <c r="F955" s="28" t="n">
        <v>708</v>
      </c>
      <c r="G955" s="29" t="n">
        <v>2360</v>
      </c>
      <c r="H955" s="29" t="n">
        <f aca="false">F955*G955</f>
        <v>1670880</v>
      </c>
    </row>
    <row r="956" customFormat="false" ht="15" hidden="false" customHeight="false" outlineLevel="0" collapsed="false">
      <c r="A956" s="27" t="n">
        <v>2024</v>
      </c>
      <c r="B956" s="27" t="n">
        <v>10</v>
      </c>
      <c r="C956" s="27" t="s">
        <v>42</v>
      </c>
      <c r="D956" s="27" t="s">
        <v>26</v>
      </c>
      <c r="E956" s="27" t="s">
        <v>58</v>
      </c>
      <c r="F956" s="28" t="n">
        <v>472</v>
      </c>
      <c r="G956" s="29" t="n">
        <v>2360</v>
      </c>
      <c r="H956" s="29" t="n">
        <f aca="false">F956*G956</f>
        <v>1113920</v>
      </c>
    </row>
    <row r="957" customFormat="false" ht="15" hidden="false" customHeight="false" outlineLevel="0" collapsed="false">
      <c r="A957" s="27" t="n">
        <v>2024</v>
      </c>
      <c r="B957" s="27" t="n">
        <v>10</v>
      </c>
      <c r="C957" s="27" t="s">
        <v>42</v>
      </c>
      <c r="D957" s="27" t="s">
        <v>28</v>
      </c>
      <c r="E957" s="27" t="s">
        <v>50</v>
      </c>
      <c r="F957" s="28" t="n">
        <v>440</v>
      </c>
      <c r="G957" s="29" t="n">
        <v>2220</v>
      </c>
      <c r="H957" s="29" t="n">
        <f aca="false">F957*G957</f>
        <v>976800</v>
      </c>
    </row>
    <row r="958" customFormat="false" ht="15" hidden="false" customHeight="false" outlineLevel="0" collapsed="false">
      <c r="A958" s="27" t="n">
        <v>2024</v>
      </c>
      <c r="B958" s="27" t="n">
        <v>10</v>
      </c>
      <c r="C958" s="27" t="s">
        <v>42</v>
      </c>
      <c r="D958" s="27" t="s">
        <v>28</v>
      </c>
      <c r="E958" s="27" t="s">
        <v>52</v>
      </c>
      <c r="F958" s="28" t="n">
        <v>294</v>
      </c>
      <c r="G958" s="29" t="n">
        <v>2140</v>
      </c>
      <c r="H958" s="29" t="n">
        <f aca="false">F958*G958</f>
        <v>629160</v>
      </c>
    </row>
    <row r="959" customFormat="false" ht="15" hidden="false" customHeight="false" outlineLevel="0" collapsed="false">
      <c r="A959" s="27" t="n">
        <v>2024</v>
      </c>
      <c r="B959" s="27" t="n">
        <v>10</v>
      </c>
      <c r="C959" s="27" t="s">
        <v>42</v>
      </c>
      <c r="D959" s="27" t="s">
        <v>28</v>
      </c>
      <c r="E959" s="27" t="s">
        <v>54</v>
      </c>
      <c r="F959" s="28" t="n">
        <v>242</v>
      </c>
      <c r="G959" s="29" t="n">
        <v>2140</v>
      </c>
      <c r="H959" s="29" t="n">
        <f aca="false">F959*G959</f>
        <v>517880</v>
      </c>
    </row>
    <row r="960" customFormat="false" ht="15" hidden="false" customHeight="false" outlineLevel="0" collapsed="false">
      <c r="A960" s="27" t="n">
        <v>2024</v>
      </c>
      <c r="B960" s="27" t="n">
        <v>10</v>
      </c>
      <c r="C960" s="27" t="s">
        <v>42</v>
      </c>
      <c r="D960" s="27" t="s">
        <v>28</v>
      </c>
      <c r="E960" s="27" t="s">
        <v>56</v>
      </c>
      <c r="F960" s="28" t="n">
        <v>263</v>
      </c>
      <c r="G960" s="29" t="n">
        <v>2230</v>
      </c>
      <c r="H960" s="29" t="n">
        <f aca="false">F960*G960</f>
        <v>586490</v>
      </c>
    </row>
    <row r="961" customFormat="false" ht="15" hidden="false" customHeight="false" outlineLevel="0" collapsed="false">
      <c r="A961" s="27" t="n">
        <v>2024</v>
      </c>
      <c r="B961" s="27" t="n">
        <v>10</v>
      </c>
      <c r="C961" s="27" t="s">
        <v>42</v>
      </c>
      <c r="D961" s="27" t="s">
        <v>28</v>
      </c>
      <c r="E961" s="27" t="s">
        <v>58</v>
      </c>
      <c r="F961" s="28" t="n">
        <v>183</v>
      </c>
      <c r="G961" s="29" t="n">
        <v>2170</v>
      </c>
      <c r="H961" s="29" t="n">
        <f aca="false">F961*G961</f>
        <v>397110</v>
      </c>
    </row>
    <row r="962" customFormat="false" ht="15" hidden="false" customHeight="false" outlineLevel="0" collapsed="false">
      <c r="A962" s="27" t="n">
        <v>2024</v>
      </c>
      <c r="B962" s="27" t="n">
        <v>10</v>
      </c>
      <c r="C962" s="27" t="s">
        <v>44</v>
      </c>
      <c r="D962" s="27" t="s">
        <v>22</v>
      </c>
      <c r="E962" s="27" t="s">
        <v>50</v>
      </c>
      <c r="F962" s="28" t="n">
        <v>2360</v>
      </c>
      <c r="G962" s="29" t="n">
        <v>3940</v>
      </c>
      <c r="H962" s="29" t="n">
        <f aca="false">F962*G962</f>
        <v>9298400</v>
      </c>
    </row>
    <row r="963" customFormat="false" ht="15" hidden="false" customHeight="false" outlineLevel="0" collapsed="false">
      <c r="A963" s="27" t="n">
        <v>2024</v>
      </c>
      <c r="B963" s="27" t="n">
        <v>10</v>
      </c>
      <c r="C963" s="27" t="s">
        <v>44</v>
      </c>
      <c r="D963" s="27" t="s">
        <v>22</v>
      </c>
      <c r="E963" s="27" t="s">
        <v>52</v>
      </c>
      <c r="F963" s="28" t="n">
        <v>1410</v>
      </c>
      <c r="G963" s="29" t="n">
        <v>3940</v>
      </c>
      <c r="H963" s="29" t="n">
        <f aca="false">F963*G963</f>
        <v>5555400</v>
      </c>
    </row>
    <row r="964" customFormat="false" ht="15" hidden="false" customHeight="false" outlineLevel="0" collapsed="false">
      <c r="A964" s="27" t="n">
        <v>2024</v>
      </c>
      <c r="B964" s="27" t="n">
        <v>10</v>
      </c>
      <c r="C964" s="27" t="s">
        <v>44</v>
      </c>
      <c r="D964" s="27" t="s">
        <v>22</v>
      </c>
      <c r="E964" s="27" t="s">
        <v>54</v>
      </c>
      <c r="F964" s="28" t="n">
        <v>1245</v>
      </c>
      <c r="G964" s="29" t="n">
        <v>3850</v>
      </c>
      <c r="H964" s="29" t="n">
        <f aca="false">F964*G964</f>
        <v>4793250</v>
      </c>
    </row>
    <row r="965" customFormat="false" ht="15" hidden="false" customHeight="false" outlineLevel="0" collapsed="false">
      <c r="A965" s="27" t="n">
        <v>2024</v>
      </c>
      <c r="B965" s="27" t="n">
        <v>10</v>
      </c>
      <c r="C965" s="27" t="s">
        <v>44</v>
      </c>
      <c r="D965" s="27" t="s">
        <v>22</v>
      </c>
      <c r="E965" s="27" t="s">
        <v>56</v>
      </c>
      <c r="F965" s="28" t="n">
        <v>1439</v>
      </c>
      <c r="G965" s="29" t="n">
        <v>3860</v>
      </c>
      <c r="H965" s="29" t="n">
        <f aca="false">F965*G965</f>
        <v>5554540</v>
      </c>
    </row>
    <row r="966" customFormat="false" ht="15" hidden="false" customHeight="false" outlineLevel="0" collapsed="false">
      <c r="A966" s="27" t="n">
        <v>2024</v>
      </c>
      <c r="B966" s="27" t="n">
        <v>10</v>
      </c>
      <c r="C966" s="27" t="s">
        <v>44</v>
      </c>
      <c r="D966" s="27" t="s">
        <v>22</v>
      </c>
      <c r="E966" s="27" t="s">
        <v>58</v>
      </c>
      <c r="F966" s="28" t="n">
        <v>1058</v>
      </c>
      <c r="G966" s="29" t="n">
        <v>3930</v>
      </c>
      <c r="H966" s="29" t="n">
        <f aca="false">F966*G966</f>
        <v>4157940</v>
      </c>
    </row>
    <row r="967" customFormat="false" ht="15" hidden="false" customHeight="false" outlineLevel="0" collapsed="false">
      <c r="A967" s="27" t="n">
        <v>2024</v>
      </c>
      <c r="B967" s="27" t="n">
        <v>10</v>
      </c>
      <c r="C967" s="27" t="s">
        <v>44</v>
      </c>
      <c r="D967" s="27" t="s">
        <v>24</v>
      </c>
      <c r="E967" s="27" t="s">
        <v>50</v>
      </c>
      <c r="F967" s="28" t="n">
        <v>1232</v>
      </c>
      <c r="G967" s="29" t="n">
        <v>3610</v>
      </c>
      <c r="H967" s="29" t="n">
        <f aca="false">F967*G967</f>
        <v>4447520</v>
      </c>
    </row>
    <row r="968" customFormat="false" ht="15" hidden="false" customHeight="false" outlineLevel="0" collapsed="false">
      <c r="A968" s="27" t="n">
        <v>2024</v>
      </c>
      <c r="B968" s="27" t="n">
        <v>10</v>
      </c>
      <c r="C968" s="27" t="s">
        <v>44</v>
      </c>
      <c r="D968" s="27" t="s">
        <v>24</v>
      </c>
      <c r="E968" s="27" t="s">
        <v>52</v>
      </c>
      <c r="F968" s="28" t="n">
        <v>806</v>
      </c>
      <c r="G968" s="29" t="n">
        <v>3670</v>
      </c>
      <c r="H968" s="29" t="n">
        <f aca="false">F968*G968</f>
        <v>2958020</v>
      </c>
    </row>
    <row r="969" customFormat="false" ht="15" hidden="false" customHeight="false" outlineLevel="0" collapsed="false">
      <c r="A969" s="27" t="n">
        <v>2024</v>
      </c>
      <c r="B969" s="27" t="n">
        <v>10</v>
      </c>
      <c r="C969" s="27" t="s">
        <v>44</v>
      </c>
      <c r="D969" s="27" t="s">
        <v>24</v>
      </c>
      <c r="E969" s="27" t="s">
        <v>54</v>
      </c>
      <c r="F969" s="28" t="n">
        <v>628</v>
      </c>
      <c r="G969" s="29" t="n">
        <v>3690</v>
      </c>
      <c r="H969" s="29" t="n">
        <f aca="false">F969*G969</f>
        <v>2317320</v>
      </c>
    </row>
    <row r="970" customFormat="false" ht="15" hidden="false" customHeight="false" outlineLevel="0" collapsed="false">
      <c r="A970" s="27" t="n">
        <v>2024</v>
      </c>
      <c r="B970" s="27" t="n">
        <v>10</v>
      </c>
      <c r="C970" s="27" t="s">
        <v>44</v>
      </c>
      <c r="D970" s="27" t="s">
        <v>24</v>
      </c>
      <c r="E970" s="27" t="s">
        <v>56</v>
      </c>
      <c r="F970" s="28" t="n">
        <v>799</v>
      </c>
      <c r="G970" s="29" t="n">
        <v>3580</v>
      </c>
      <c r="H970" s="29" t="n">
        <f aca="false">F970*G970</f>
        <v>2860420</v>
      </c>
    </row>
    <row r="971" customFormat="false" ht="15" hidden="false" customHeight="false" outlineLevel="0" collapsed="false">
      <c r="A971" s="27" t="n">
        <v>2024</v>
      </c>
      <c r="B971" s="27" t="n">
        <v>10</v>
      </c>
      <c r="C971" s="27" t="s">
        <v>44</v>
      </c>
      <c r="D971" s="27" t="s">
        <v>24</v>
      </c>
      <c r="E971" s="27" t="s">
        <v>58</v>
      </c>
      <c r="F971" s="28" t="n">
        <v>529</v>
      </c>
      <c r="G971" s="29" t="n">
        <v>3600</v>
      </c>
      <c r="H971" s="29" t="n">
        <f aca="false">F971*G971</f>
        <v>1904400</v>
      </c>
    </row>
    <row r="972" customFormat="false" ht="15" hidden="false" customHeight="false" outlineLevel="0" collapsed="false">
      <c r="A972" s="27" t="n">
        <v>2024</v>
      </c>
      <c r="B972" s="27" t="n">
        <v>10</v>
      </c>
      <c r="C972" s="27" t="s">
        <v>44</v>
      </c>
      <c r="D972" s="27" t="s">
        <v>26</v>
      </c>
      <c r="E972" s="27" t="s">
        <v>50</v>
      </c>
      <c r="F972" s="28" t="n">
        <v>608</v>
      </c>
      <c r="G972" s="29" t="n">
        <v>4370</v>
      </c>
      <c r="H972" s="29" t="n">
        <f aca="false">F972*G972</f>
        <v>2656960</v>
      </c>
    </row>
    <row r="973" customFormat="false" ht="15" hidden="false" customHeight="false" outlineLevel="0" collapsed="false">
      <c r="A973" s="27" t="n">
        <v>2024</v>
      </c>
      <c r="B973" s="27" t="n">
        <v>10</v>
      </c>
      <c r="C973" s="27" t="s">
        <v>44</v>
      </c>
      <c r="D973" s="27" t="s">
        <v>26</v>
      </c>
      <c r="E973" s="27" t="s">
        <v>52</v>
      </c>
      <c r="F973" s="28" t="n">
        <v>381</v>
      </c>
      <c r="G973" s="29" t="n">
        <v>4270</v>
      </c>
      <c r="H973" s="29" t="n">
        <f aca="false">F973*G973</f>
        <v>1626870</v>
      </c>
    </row>
    <row r="974" customFormat="false" ht="15" hidden="false" customHeight="false" outlineLevel="0" collapsed="false">
      <c r="A974" s="27" t="n">
        <v>2024</v>
      </c>
      <c r="B974" s="27" t="n">
        <v>10</v>
      </c>
      <c r="C974" s="27" t="s">
        <v>44</v>
      </c>
      <c r="D974" s="27" t="s">
        <v>26</v>
      </c>
      <c r="E974" s="27" t="s">
        <v>54</v>
      </c>
      <c r="F974" s="28" t="n">
        <v>318</v>
      </c>
      <c r="G974" s="29" t="n">
        <v>4290</v>
      </c>
      <c r="H974" s="29" t="n">
        <f aca="false">F974*G974</f>
        <v>1364220</v>
      </c>
    </row>
    <row r="975" customFormat="false" ht="15" hidden="false" customHeight="false" outlineLevel="0" collapsed="false">
      <c r="A975" s="27" t="n">
        <v>2024</v>
      </c>
      <c r="B975" s="27" t="n">
        <v>10</v>
      </c>
      <c r="C975" s="27" t="s">
        <v>44</v>
      </c>
      <c r="D975" s="27" t="s">
        <v>26</v>
      </c>
      <c r="E975" s="27" t="s">
        <v>56</v>
      </c>
      <c r="F975" s="28" t="n">
        <v>371</v>
      </c>
      <c r="G975" s="29" t="n">
        <v>4330</v>
      </c>
      <c r="H975" s="29" t="n">
        <f aca="false">F975*G975</f>
        <v>1606430</v>
      </c>
    </row>
    <row r="976" customFormat="false" ht="15" hidden="false" customHeight="false" outlineLevel="0" collapsed="false">
      <c r="A976" s="27" t="n">
        <v>2024</v>
      </c>
      <c r="B976" s="27" t="n">
        <v>10</v>
      </c>
      <c r="C976" s="27" t="s">
        <v>44</v>
      </c>
      <c r="D976" s="27" t="s">
        <v>26</v>
      </c>
      <c r="E976" s="27" t="s">
        <v>58</v>
      </c>
      <c r="F976" s="28" t="n">
        <v>252</v>
      </c>
      <c r="G976" s="29" t="n">
        <v>4460</v>
      </c>
      <c r="H976" s="29" t="n">
        <f aca="false">F976*G976</f>
        <v>1123920</v>
      </c>
    </row>
    <row r="977" customFormat="false" ht="15" hidden="false" customHeight="false" outlineLevel="0" collapsed="false">
      <c r="A977" s="27" t="n">
        <v>2024</v>
      </c>
      <c r="B977" s="27" t="n">
        <v>10</v>
      </c>
      <c r="C977" s="27" t="s">
        <v>44</v>
      </c>
      <c r="D977" s="27" t="s">
        <v>28</v>
      </c>
      <c r="E977" s="27" t="s">
        <v>50</v>
      </c>
      <c r="F977" s="28" t="n">
        <v>250</v>
      </c>
      <c r="G977" s="29" t="n">
        <v>4110</v>
      </c>
      <c r="H977" s="29" t="n">
        <f aca="false">F977*G977</f>
        <v>1027500</v>
      </c>
    </row>
    <row r="978" customFormat="false" ht="15" hidden="false" customHeight="false" outlineLevel="0" collapsed="false">
      <c r="A978" s="27" t="n">
        <v>2024</v>
      </c>
      <c r="B978" s="27" t="n">
        <v>10</v>
      </c>
      <c r="C978" s="27" t="s">
        <v>44</v>
      </c>
      <c r="D978" s="27" t="s">
        <v>28</v>
      </c>
      <c r="E978" s="27" t="s">
        <v>52</v>
      </c>
      <c r="F978" s="28" t="n">
        <v>142</v>
      </c>
      <c r="G978" s="29" t="n">
        <v>4070</v>
      </c>
      <c r="H978" s="29" t="n">
        <f aca="false">F978*G978</f>
        <v>577940</v>
      </c>
    </row>
    <row r="979" customFormat="false" ht="15" hidden="false" customHeight="false" outlineLevel="0" collapsed="false">
      <c r="A979" s="27" t="n">
        <v>2024</v>
      </c>
      <c r="B979" s="27" t="n">
        <v>10</v>
      </c>
      <c r="C979" s="27" t="s">
        <v>44</v>
      </c>
      <c r="D979" s="27" t="s">
        <v>28</v>
      </c>
      <c r="E979" s="27" t="s">
        <v>54</v>
      </c>
      <c r="F979" s="28" t="n">
        <v>126</v>
      </c>
      <c r="G979" s="29" t="n">
        <v>4050</v>
      </c>
      <c r="H979" s="29" t="n">
        <f aca="false">F979*G979</f>
        <v>510300</v>
      </c>
    </row>
    <row r="980" customFormat="false" ht="15" hidden="false" customHeight="false" outlineLevel="0" collapsed="false">
      <c r="A980" s="27" t="n">
        <v>2024</v>
      </c>
      <c r="B980" s="27" t="n">
        <v>10</v>
      </c>
      <c r="C980" s="27" t="s">
        <v>44</v>
      </c>
      <c r="D980" s="27" t="s">
        <v>28</v>
      </c>
      <c r="E980" s="27" t="s">
        <v>56</v>
      </c>
      <c r="F980" s="28" t="n">
        <v>155</v>
      </c>
      <c r="G980" s="29" t="n">
        <v>4050</v>
      </c>
      <c r="H980" s="29" t="n">
        <f aca="false">F980*G980</f>
        <v>627750</v>
      </c>
    </row>
    <row r="981" customFormat="false" ht="15" hidden="false" customHeight="false" outlineLevel="0" collapsed="false">
      <c r="A981" s="27" t="n">
        <v>2024</v>
      </c>
      <c r="B981" s="27" t="n">
        <v>10</v>
      </c>
      <c r="C981" s="27" t="s">
        <v>44</v>
      </c>
      <c r="D981" s="27" t="s">
        <v>28</v>
      </c>
      <c r="E981" s="27" t="s">
        <v>58</v>
      </c>
      <c r="F981" s="28" t="n">
        <v>100</v>
      </c>
      <c r="G981" s="29" t="n">
        <v>4070</v>
      </c>
      <c r="H981" s="29" t="n">
        <f aca="false">F981*G981</f>
        <v>407000</v>
      </c>
    </row>
    <row r="982" customFormat="false" ht="15" hidden="false" customHeight="false" outlineLevel="0" collapsed="false">
      <c r="A982" s="27" t="n">
        <v>2024</v>
      </c>
      <c r="B982" s="27" t="n">
        <v>10</v>
      </c>
      <c r="C982" s="27" t="s">
        <v>45</v>
      </c>
      <c r="D982" s="27" t="s">
        <v>22</v>
      </c>
      <c r="E982" s="27" t="s">
        <v>50</v>
      </c>
      <c r="F982" s="28" t="n">
        <v>3355</v>
      </c>
      <c r="G982" s="29" t="n">
        <v>2380</v>
      </c>
      <c r="H982" s="29" t="n">
        <f aca="false">F982*G982</f>
        <v>7984900</v>
      </c>
    </row>
    <row r="983" customFormat="false" ht="15" hidden="false" customHeight="false" outlineLevel="0" collapsed="false">
      <c r="A983" s="27" t="n">
        <v>2024</v>
      </c>
      <c r="B983" s="27" t="n">
        <v>10</v>
      </c>
      <c r="C983" s="27" t="s">
        <v>45</v>
      </c>
      <c r="D983" s="27" t="s">
        <v>22</v>
      </c>
      <c r="E983" s="27" t="s">
        <v>52</v>
      </c>
      <c r="F983" s="28" t="n">
        <v>2052</v>
      </c>
      <c r="G983" s="29" t="n">
        <v>2390</v>
      </c>
      <c r="H983" s="29" t="n">
        <f aca="false">F983*G983</f>
        <v>4904280</v>
      </c>
    </row>
    <row r="984" customFormat="false" ht="15" hidden="false" customHeight="false" outlineLevel="0" collapsed="false">
      <c r="A984" s="27" t="n">
        <v>2024</v>
      </c>
      <c r="B984" s="27" t="n">
        <v>10</v>
      </c>
      <c r="C984" s="27" t="s">
        <v>45</v>
      </c>
      <c r="D984" s="27" t="s">
        <v>22</v>
      </c>
      <c r="E984" s="27" t="s">
        <v>54</v>
      </c>
      <c r="F984" s="28" t="n">
        <v>1603</v>
      </c>
      <c r="G984" s="29" t="n">
        <v>2410</v>
      </c>
      <c r="H984" s="29" t="n">
        <f aca="false">F984*G984</f>
        <v>3863230</v>
      </c>
    </row>
    <row r="985" customFormat="false" ht="15" hidden="false" customHeight="false" outlineLevel="0" collapsed="false">
      <c r="A985" s="27" t="n">
        <v>2024</v>
      </c>
      <c r="B985" s="27" t="n">
        <v>10</v>
      </c>
      <c r="C985" s="27" t="s">
        <v>45</v>
      </c>
      <c r="D985" s="27" t="s">
        <v>22</v>
      </c>
      <c r="E985" s="27" t="s">
        <v>56</v>
      </c>
      <c r="F985" s="28" t="n">
        <v>2000</v>
      </c>
      <c r="G985" s="29" t="n">
        <v>2400</v>
      </c>
      <c r="H985" s="29" t="n">
        <f aca="false">F985*G985</f>
        <v>4800000</v>
      </c>
    </row>
    <row r="986" customFormat="false" ht="15" hidden="false" customHeight="false" outlineLevel="0" collapsed="false">
      <c r="A986" s="27" t="n">
        <v>2024</v>
      </c>
      <c r="B986" s="27" t="n">
        <v>10</v>
      </c>
      <c r="C986" s="27" t="s">
        <v>45</v>
      </c>
      <c r="D986" s="27" t="s">
        <v>22</v>
      </c>
      <c r="E986" s="27" t="s">
        <v>58</v>
      </c>
      <c r="F986" s="28" t="n">
        <v>1323</v>
      </c>
      <c r="G986" s="29" t="n">
        <v>2420</v>
      </c>
      <c r="H986" s="29" t="n">
        <f aca="false">F986*G986</f>
        <v>3201660</v>
      </c>
    </row>
    <row r="987" customFormat="false" ht="15" hidden="false" customHeight="false" outlineLevel="0" collapsed="false">
      <c r="A987" s="27" t="n">
        <v>2024</v>
      </c>
      <c r="B987" s="27" t="n">
        <v>10</v>
      </c>
      <c r="C987" s="27" t="s">
        <v>45</v>
      </c>
      <c r="D987" s="27" t="s">
        <v>24</v>
      </c>
      <c r="E987" s="27" t="s">
        <v>50</v>
      </c>
      <c r="F987" s="28" t="n">
        <v>1776</v>
      </c>
      <c r="G987" s="29" t="n">
        <v>2230</v>
      </c>
      <c r="H987" s="29" t="n">
        <f aca="false">F987*G987</f>
        <v>3960480</v>
      </c>
    </row>
    <row r="988" customFormat="false" ht="15" hidden="false" customHeight="false" outlineLevel="0" collapsed="false">
      <c r="A988" s="27" t="n">
        <v>2024</v>
      </c>
      <c r="B988" s="27" t="n">
        <v>10</v>
      </c>
      <c r="C988" s="27" t="s">
        <v>45</v>
      </c>
      <c r="D988" s="27" t="s">
        <v>24</v>
      </c>
      <c r="E988" s="27" t="s">
        <v>52</v>
      </c>
      <c r="F988" s="28" t="n">
        <v>1129</v>
      </c>
      <c r="G988" s="29" t="n">
        <v>2270</v>
      </c>
      <c r="H988" s="29" t="n">
        <f aca="false">F988*G988</f>
        <v>2562830</v>
      </c>
    </row>
    <row r="989" customFormat="false" ht="15" hidden="false" customHeight="false" outlineLevel="0" collapsed="false">
      <c r="A989" s="27" t="n">
        <v>2024</v>
      </c>
      <c r="B989" s="27" t="n">
        <v>10</v>
      </c>
      <c r="C989" s="27" t="s">
        <v>45</v>
      </c>
      <c r="D989" s="27" t="s">
        <v>24</v>
      </c>
      <c r="E989" s="27" t="s">
        <v>54</v>
      </c>
      <c r="F989" s="28" t="n">
        <v>838</v>
      </c>
      <c r="G989" s="29" t="n">
        <v>2250</v>
      </c>
      <c r="H989" s="29" t="n">
        <f aca="false">F989*G989</f>
        <v>1885500</v>
      </c>
    </row>
    <row r="990" customFormat="false" ht="15" hidden="false" customHeight="false" outlineLevel="0" collapsed="false">
      <c r="A990" s="27" t="n">
        <v>2024</v>
      </c>
      <c r="B990" s="27" t="n">
        <v>10</v>
      </c>
      <c r="C990" s="27" t="s">
        <v>45</v>
      </c>
      <c r="D990" s="27" t="s">
        <v>24</v>
      </c>
      <c r="E990" s="27" t="s">
        <v>56</v>
      </c>
      <c r="F990" s="28" t="n">
        <v>966</v>
      </c>
      <c r="G990" s="29" t="n">
        <v>2240</v>
      </c>
      <c r="H990" s="29" t="n">
        <f aca="false">F990*G990</f>
        <v>2163840</v>
      </c>
    </row>
    <row r="991" customFormat="false" ht="15" hidden="false" customHeight="false" outlineLevel="0" collapsed="false">
      <c r="A991" s="27" t="n">
        <v>2024</v>
      </c>
      <c r="B991" s="27" t="n">
        <v>10</v>
      </c>
      <c r="C991" s="27" t="s">
        <v>45</v>
      </c>
      <c r="D991" s="27" t="s">
        <v>24</v>
      </c>
      <c r="E991" s="27" t="s">
        <v>58</v>
      </c>
      <c r="F991" s="28" t="n">
        <v>788</v>
      </c>
      <c r="G991" s="29" t="n">
        <v>2240</v>
      </c>
      <c r="H991" s="29" t="n">
        <f aca="false">F991*G991</f>
        <v>1765120</v>
      </c>
    </row>
    <row r="992" customFormat="false" ht="15" hidden="false" customHeight="false" outlineLevel="0" collapsed="false">
      <c r="A992" s="27" t="n">
        <v>2024</v>
      </c>
      <c r="B992" s="27" t="n">
        <v>10</v>
      </c>
      <c r="C992" s="27" t="s">
        <v>45</v>
      </c>
      <c r="D992" s="27" t="s">
        <v>26</v>
      </c>
      <c r="E992" s="27" t="s">
        <v>50</v>
      </c>
      <c r="F992" s="28" t="n">
        <v>873</v>
      </c>
      <c r="G992" s="29" t="n">
        <v>2670</v>
      </c>
      <c r="H992" s="29" t="n">
        <f aca="false">F992*G992</f>
        <v>2330910</v>
      </c>
    </row>
    <row r="993" customFormat="false" ht="15" hidden="false" customHeight="false" outlineLevel="0" collapsed="false">
      <c r="A993" s="27" t="n">
        <v>2024</v>
      </c>
      <c r="B993" s="27" t="n">
        <v>10</v>
      </c>
      <c r="C993" s="27" t="s">
        <v>45</v>
      </c>
      <c r="D993" s="27" t="s">
        <v>26</v>
      </c>
      <c r="E993" s="27" t="s">
        <v>52</v>
      </c>
      <c r="F993" s="28" t="n">
        <v>542</v>
      </c>
      <c r="G993" s="29" t="n">
        <v>2680</v>
      </c>
      <c r="H993" s="29" t="n">
        <f aca="false">F993*G993</f>
        <v>1452560</v>
      </c>
    </row>
    <row r="994" customFormat="false" ht="15" hidden="false" customHeight="false" outlineLevel="0" collapsed="false">
      <c r="A994" s="27" t="n">
        <v>2024</v>
      </c>
      <c r="B994" s="27" t="n">
        <v>10</v>
      </c>
      <c r="C994" s="27" t="s">
        <v>45</v>
      </c>
      <c r="D994" s="27" t="s">
        <v>26</v>
      </c>
      <c r="E994" s="27" t="s">
        <v>54</v>
      </c>
      <c r="F994" s="28" t="n">
        <v>416</v>
      </c>
      <c r="G994" s="29" t="n">
        <v>2680</v>
      </c>
      <c r="H994" s="29" t="n">
        <f aca="false">F994*G994</f>
        <v>1114880</v>
      </c>
    </row>
    <row r="995" customFormat="false" ht="15" hidden="false" customHeight="false" outlineLevel="0" collapsed="false">
      <c r="A995" s="27" t="n">
        <v>2024</v>
      </c>
      <c r="B995" s="27" t="n">
        <v>10</v>
      </c>
      <c r="C995" s="27" t="s">
        <v>45</v>
      </c>
      <c r="D995" s="27" t="s">
        <v>26</v>
      </c>
      <c r="E995" s="27" t="s">
        <v>56</v>
      </c>
      <c r="F995" s="28" t="n">
        <v>519</v>
      </c>
      <c r="G995" s="29" t="n">
        <v>2670</v>
      </c>
      <c r="H995" s="29" t="n">
        <f aca="false">F995*G995</f>
        <v>1385730</v>
      </c>
    </row>
    <row r="996" customFormat="false" ht="15" hidden="false" customHeight="false" outlineLevel="0" collapsed="false">
      <c r="A996" s="27" t="n">
        <v>2024</v>
      </c>
      <c r="B996" s="27" t="n">
        <v>10</v>
      </c>
      <c r="C996" s="27" t="s">
        <v>45</v>
      </c>
      <c r="D996" s="27" t="s">
        <v>26</v>
      </c>
      <c r="E996" s="27" t="s">
        <v>58</v>
      </c>
      <c r="F996" s="28" t="n">
        <v>337</v>
      </c>
      <c r="G996" s="29" t="n">
        <v>2650</v>
      </c>
      <c r="H996" s="29" t="n">
        <f aca="false">F996*G996</f>
        <v>893050</v>
      </c>
    </row>
    <row r="997" customFormat="false" ht="15" hidden="false" customHeight="false" outlineLevel="0" collapsed="false">
      <c r="A997" s="27" t="n">
        <v>2024</v>
      </c>
      <c r="B997" s="27" t="n">
        <v>10</v>
      </c>
      <c r="C997" s="27" t="s">
        <v>45</v>
      </c>
      <c r="D997" s="27" t="s">
        <v>28</v>
      </c>
      <c r="E997" s="27" t="s">
        <v>50</v>
      </c>
      <c r="F997" s="28" t="n">
        <v>339</v>
      </c>
      <c r="G997" s="29" t="n">
        <v>2530</v>
      </c>
      <c r="H997" s="29" t="n">
        <f aca="false">F997*G997</f>
        <v>857670</v>
      </c>
    </row>
    <row r="998" customFormat="false" ht="15" hidden="false" customHeight="false" outlineLevel="0" collapsed="false">
      <c r="A998" s="27" t="n">
        <v>2024</v>
      </c>
      <c r="B998" s="27" t="n">
        <v>10</v>
      </c>
      <c r="C998" s="27" t="s">
        <v>45</v>
      </c>
      <c r="D998" s="27" t="s">
        <v>28</v>
      </c>
      <c r="E998" s="27" t="s">
        <v>52</v>
      </c>
      <c r="F998" s="28" t="n">
        <v>210</v>
      </c>
      <c r="G998" s="29" t="n">
        <v>2540</v>
      </c>
      <c r="H998" s="29" t="n">
        <f aca="false">F998*G998</f>
        <v>533400</v>
      </c>
    </row>
    <row r="999" customFormat="false" ht="15" hidden="false" customHeight="false" outlineLevel="0" collapsed="false">
      <c r="A999" s="27" t="n">
        <v>2024</v>
      </c>
      <c r="B999" s="27" t="n">
        <v>10</v>
      </c>
      <c r="C999" s="27" t="s">
        <v>45</v>
      </c>
      <c r="D999" s="27" t="s">
        <v>28</v>
      </c>
      <c r="E999" s="27" t="s">
        <v>54</v>
      </c>
      <c r="F999" s="28" t="n">
        <v>167</v>
      </c>
      <c r="G999" s="29" t="n">
        <v>2530</v>
      </c>
      <c r="H999" s="29" t="n">
        <f aca="false">F999*G999</f>
        <v>422510</v>
      </c>
    </row>
    <row r="1000" customFormat="false" ht="15" hidden="false" customHeight="false" outlineLevel="0" collapsed="false">
      <c r="A1000" s="27" t="n">
        <v>2024</v>
      </c>
      <c r="B1000" s="27" t="n">
        <v>10</v>
      </c>
      <c r="C1000" s="27" t="s">
        <v>45</v>
      </c>
      <c r="D1000" s="27" t="s">
        <v>28</v>
      </c>
      <c r="E1000" s="27" t="s">
        <v>56</v>
      </c>
      <c r="F1000" s="28" t="n">
        <v>201</v>
      </c>
      <c r="G1000" s="29" t="n">
        <v>2520</v>
      </c>
      <c r="H1000" s="29" t="n">
        <f aca="false">F1000*G1000</f>
        <v>506520</v>
      </c>
    </row>
    <row r="1001" customFormat="false" ht="15" hidden="false" customHeight="false" outlineLevel="0" collapsed="false">
      <c r="A1001" s="27" t="n">
        <v>2024</v>
      </c>
      <c r="B1001" s="27" t="n">
        <v>10</v>
      </c>
      <c r="C1001" s="27" t="s">
        <v>45</v>
      </c>
      <c r="D1001" s="27" t="s">
        <v>28</v>
      </c>
      <c r="E1001" s="27" t="s">
        <v>58</v>
      </c>
      <c r="F1001" s="28" t="n">
        <v>132</v>
      </c>
      <c r="G1001" s="29" t="n">
        <v>2580</v>
      </c>
      <c r="H1001" s="29" t="n">
        <f aca="false">F1001*G1001</f>
        <v>340560</v>
      </c>
    </row>
    <row r="1002" customFormat="false" ht="15" hidden="false" customHeight="false" outlineLevel="0" collapsed="false">
      <c r="A1002" s="27" t="n">
        <v>2024</v>
      </c>
      <c r="B1002" s="27" t="n">
        <v>11</v>
      </c>
      <c r="C1002" s="27" t="s">
        <v>38</v>
      </c>
      <c r="D1002" s="27" t="s">
        <v>22</v>
      </c>
      <c r="E1002" s="27" t="s">
        <v>50</v>
      </c>
      <c r="F1002" s="28" t="n">
        <v>8620</v>
      </c>
      <c r="G1002" s="29" t="n">
        <v>2580</v>
      </c>
      <c r="H1002" s="29" t="n">
        <f aca="false">F1002*G1002</f>
        <v>22239600</v>
      </c>
    </row>
    <row r="1003" customFormat="false" ht="15" hidden="false" customHeight="false" outlineLevel="0" collapsed="false">
      <c r="A1003" s="27" t="n">
        <v>2024</v>
      </c>
      <c r="B1003" s="27" t="n">
        <v>11</v>
      </c>
      <c r="C1003" s="27" t="s">
        <v>38</v>
      </c>
      <c r="D1003" s="27" t="s">
        <v>22</v>
      </c>
      <c r="E1003" s="27" t="s">
        <v>52</v>
      </c>
      <c r="F1003" s="28" t="n">
        <v>5632</v>
      </c>
      <c r="G1003" s="29" t="n">
        <v>2610</v>
      </c>
      <c r="H1003" s="29" t="n">
        <f aca="false">F1003*G1003</f>
        <v>14699520</v>
      </c>
    </row>
    <row r="1004" customFormat="false" ht="15" hidden="false" customHeight="false" outlineLevel="0" collapsed="false">
      <c r="A1004" s="27" t="n">
        <v>2024</v>
      </c>
      <c r="B1004" s="27" t="n">
        <v>11</v>
      </c>
      <c r="C1004" s="27" t="s">
        <v>38</v>
      </c>
      <c r="D1004" s="27" t="s">
        <v>22</v>
      </c>
      <c r="E1004" s="27" t="s">
        <v>54</v>
      </c>
      <c r="F1004" s="28" t="n">
        <v>4100</v>
      </c>
      <c r="G1004" s="29" t="n">
        <v>2630</v>
      </c>
      <c r="H1004" s="29" t="n">
        <f aca="false">F1004*G1004</f>
        <v>10783000</v>
      </c>
    </row>
    <row r="1005" customFormat="false" ht="15" hidden="false" customHeight="false" outlineLevel="0" collapsed="false">
      <c r="A1005" s="27" t="n">
        <v>2024</v>
      </c>
      <c r="B1005" s="27" t="n">
        <v>11</v>
      </c>
      <c r="C1005" s="27" t="s">
        <v>38</v>
      </c>
      <c r="D1005" s="27" t="s">
        <v>22</v>
      </c>
      <c r="E1005" s="27" t="s">
        <v>56</v>
      </c>
      <c r="F1005" s="28" t="n">
        <v>5212</v>
      </c>
      <c r="G1005" s="29" t="n">
        <v>2570</v>
      </c>
      <c r="H1005" s="29" t="n">
        <f aca="false">F1005*G1005</f>
        <v>13394840</v>
      </c>
    </row>
    <row r="1006" customFormat="false" ht="15" hidden="false" customHeight="false" outlineLevel="0" collapsed="false">
      <c r="A1006" s="27" t="n">
        <v>2024</v>
      </c>
      <c r="B1006" s="27" t="n">
        <v>11</v>
      </c>
      <c r="C1006" s="27" t="s">
        <v>38</v>
      </c>
      <c r="D1006" s="27" t="s">
        <v>22</v>
      </c>
      <c r="E1006" s="27" t="s">
        <v>58</v>
      </c>
      <c r="F1006" s="28" t="n">
        <v>3796</v>
      </c>
      <c r="G1006" s="29" t="n">
        <v>2620</v>
      </c>
      <c r="H1006" s="29" t="n">
        <f aca="false">F1006*G1006</f>
        <v>9945520</v>
      </c>
    </row>
    <row r="1007" customFormat="false" ht="15" hidden="false" customHeight="false" outlineLevel="0" collapsed="false">
      <c r="A1007" s="27" t="n">
        <v>2024</v>
      </c>
      <c r="B1007" s="27" t="n">
        <v>11</v>
      </c>
      <c r="C1007" s="27" t="s">
        <v>38</v>
      </c>
      <c r="D1007" s="27" t="s">
        <v>24</v>
      </c>
      <c r="E1007" s="27" t="s">
        <v>50</v>
      </c>
      <c r="F1007" s="28" t="n">
        <v>4461</v>
      </c>
      <c r="G1007" s="29" t="n">
        <v>2460</v>
      </c>
      <c r="H1007" s="29" t="n">
        <f aca="false">F1007*G1007</f>
        <v>10974060</v>
      </c>
    </row>
    <row r="1008" customFormat="false" ht="15" hidden="false" customHeight="false" outlineLevel="0" collapsed="false">
      <c r="A1008" s="27" t="n">
        <v>2024</v>
      </c>
      <c r="B1008" s="27" t="n">
        <v>11</v>
      </c>
      <c r="C1008" s="27" t="s">
        <v>38</v>
      </c>
      <c r="D1008" s="27" t="s">
        <v>24</v>
      </c>
      <c r="E1008" s="27" t="s">
        <v>52</v>
      </c>
      <c r="F1008" s="28" t="n">
        <v>3075</v>
      </c>
      <c r="G1008" s="29" t="n">
        <v>2420</v>
      </c>
      <c r="H1008" s="29" t="n">
        <f aca="false">F1008*G1008</f>
        <v>7441500</v>
      </c>
    </row>
    <row r="1009" customFormat="false" ht="15" hidden="false" customHeight="false" outlineLevel="0" collapsed="false">
      <c r="A1009" s="27" t="n">
        <v>2024</v>
      </c>
      <c r="B1009" s="27" t="n">
        <v>11</v>
      </c>
      <c r="C1009" s="27" t="s">
        <v>38</v>
      </c>
      <c r="D1009" s="27" t="s">
        <v>24</v>
      </c>
      <c r="E1009" s="27" t="s">
        <v>54</v>
      </c>
      <c r="F1009" s="28" t="n">
        <v>2571</v>
      </c>
      <c r="G1009" s="29" t="n">
        <v>2420</v>
      </c>
      <c r="H1009" s="29" t="n">
        <f aca="false">F1009*G1009</f>
        <v>6221820</v>
      </c>
    </row>
    <row r="1010" customFormat="false" ht="15" hidden="false" customHeight="false" outlineLevel="0" collapsed="false">
      <c r="A1010" s="27" t="n">
        <v>2024</v>
      </c>
      <c r="B1010" s="27" t="n">
        <v>11</v>
      </c>
      <c r="C1010" s="27" t="s">
        <v>38</v>
      </c>
      <c r="D1010" s="27" t="s">
        <v>24</v>
      </c>
      <c r="E1010" s="27" t="s">
        <v>56</v>
      </c>
      <c r="F1010" s="28" t="n">
        <v>2824</v>
      </c>
      <c r="G1010" s="29" t="n">
        <v>2400</v>
      </c>
      <c r="H1010" s="29" t="n">
        <f aca="false">F1010*G1010</f>
        <v>6777600</v>
      </c>
    </row>
    <row r="1011" customFormat="false" ht="15" hidden="false" customHeight="false" outlineLevel="0" collapsed="false">
      <c r="A1011" s="27" t="n">
        <v>2024</v>
      </c>
      <c r="B1011" s="27" t="n">
        <v>11</v>
      </c>
      <c r="C1011" s="27" t="s">
        <v>38</v>
      </c>
      <c r="D1011" s="27" t="s">
        <v>24</v>
      </c>
      <c r="E1011" s="27" t="s">
        <v>58</v>
      </c>
      <c r="F1011" s="28" t="n">
        <v>1991</v>
      </c>
      <c r="G1011" s="29" t="n">
        <v>2430</v>
      </c>
      <c r="H1011" s="29" t="n">
        <f aca="false">F1011*G1011</f>
        <v>4838130</v>
      </c>
    </row>
    <row r="1012" customFormat="false" ht="15" hidden="false" customHeight="false" outlineLevel="0" collapsed="false">
      <c r="A1012" s="27" t="n">
        <v>2024</v>
      </c>
      <c r="B1012" s="27" t="n">
        <v>11</v>
      </c>
      <c r="C1012" s="27" t="s">
        <v>38</v>
      </c>
      <c r="D1012" s="27" t="s">
        <v>26</v>
      </c>
      <c r="E1012" s="27" t="s">
        <v>50</v>
      </c>
      <c r="F1012" s="28" t="n">
        <v>2295</v>
      </c>
      <c r="G1012" s="29" t="n">
        <v>2890</v>
      </c>
      <c r="H1012" s="29" t="n">
        <f aca="false">F1012*G1012</f>
        <v>6632550</v>
      </c>
    </row>
    <row r="1013" customFormat="false" ht="15" hidden="false" customHeight="false" outlineLevel="0" collapsed="false">
      <c r="A1013" s="27" t="n">
        <v>2024</v>
      </c>
      <c r="B1013" s="27" t="n">
        <v>11</v>
      </c>
      <c r="C1013" s="27" t="s">
        <v>38</v>
      </c>
      <c r="D1013" s="27" t="s">
        <v>26</v>
      </c>
      <c r="E1013" s="27" t="s">
        <v>52</v>
      </c>
      <c r="F1013" s="28" t="n">
        <v>1442</v>
      </c>
      <c r="G1013" s="29" t="n">
        <v>2910</v>
      </c>
      <c r="H1013" s="29" t="n">
        <f aca="false">F1013*G1013</f>
        <v>4196220</v>
      </c>
    </row>
    <row r="1014" customFormat="false" ht="15" hidden="false" customHeight="false" outlineLevel="0" collapsed="false">
      <c r="A1014" s="27" t="n">
        <v>2024</v>
      </c>
      <c r="B1014" s="27" t="n">
        <v>11</v>
      </c>
      <c r="C1014" s="27" t="s">
        <v>38</v>
      </c>
      <c r="D1014" s="27" t="s">
        <v>26</v>
      </c>
      <c r="E1014" s="27" t="s">
        <v>54</v>
      </c>
      <c r="F1014" s="28" t="n">
        <v>1070</v>
      </c>
      <c r="G1014" s="29" t="n">
        <v>2870</v>
      </c>
      <c r="H1014" s="29" t="n">
        <f aca="false">F1014*G1014</f>
        <v>3070900</v>
      </c>
    </row>
    <row r="1015" customFormat="false" ht="15" hidden="false" customHeight="false" outlineLevel="0" collapsed="false">
      <c r="A1015" s="27" t="n">
        <v>2024</v>
      </c>
      <c r="B1015" s="27" t="n">
        <v>11</v>
      </c>
      <c r="C1015" s="27" t="s">
        <v>38</v>
      </c>
      <c r="D1015" s="27" t="s">
        <v>26</v>
      </c>
      <c r="E1015" s="27" t="s">
        <v>56</v>
      </c>
      <c r="F1015" s="28" t="n">
        <v>1400</v>
      </c>
      <c r="G1015" s="29" t="n">
        <v>2840</v>
      </c>
      <c r="H1015" s="29" t="n">
        <f aca="false">F1015*G1015</f>
        <v>3976000</v>
      </c>
    </row>
    <row r="1016" customFormat="false" ht="15" hidden="false" customHeight="false" outlineLevel="0" collapsed="false">
      <c r="A1016" s="27" t="n">
        <v>2024</v>
      </c>
      <c r="B1016" s="27" t="n">
        <v>11</v>
      </c>
      <c r="C1016" s="27" t="s">
        <v>38</v>
      </c>
      <c r="D1016" s="27" t="s">
        <v>26</v>
      </c>
      <c r="E1016" s="27" t="s">
        <v>58</v>
      </c>
      <c r="F1016" s="28" t="n">
        <v>941</v>
      </c>
      <c r="G1016" s="29" t="n">
        <v>2900</v>
      </c>
      <c r="H1016" s="29" t="n">
        <f aca="false">F1016*G1016</f>
        <v>2728900</v>
      </c>
    </row>
    <row r="1017" customFormat="false" ht="15" hidden="false" customHeight="false" outlineLevel="0" collapsed="false">
      <c r="A1017" s="27" t="n">
        <v>2024</v>
      </c>
      <c r="B1017" s="27" t="n">
        <v>11</v>
      </c>
      <c r="C1017" s="27" t="s">
        <v>38</v>
      </c>
      <c r="D1017" s="27" t="s">
        <v>28</v>
      </c>
      <c r="E1017" s="27" t="s">
        <v>50</v>
      </c>
      <c r="F1017" s="28" t="n">
        <v>940</v>
      </c>
      <c r="G1017" s="29" t="n">
        <v>2720</v>
      </c>
      <c r="H1017" s="29" t="n">
        <f aca="false">F1017*G1017</f>
        <v>2556800</v>
      </c>
    </row>
    <row r="1018" customFormat="false" ht="15" hidden="false" customHeight="false" outlineLevel="0" collapsed="false">
      <c r="A1018" s="27" t="n">
        <v>2024</v>
      </c>
      <c r="B1018" s="27" t="n">
        <v>11</v>
      </c>
      <c r="C1018" s="27" t="s">
        <v>38</v>
      </c>
      <c r="D1018" s="27" t="s">
        <v>28</v>
      </c>
      <c r="E1018" s="27" t="s">
        <v>52</v>
      </c>
      <c r="F1018" s="28" t="n">
        <v>569</v>
      </c>
      <c r="G1018" s="29" t="n">
        <v>2720</v>
      </c>
      <c r="H1018" s="29" t="n">
        <f aca="false">F1018*G1018</f>
        <v>1547680</v>
      </c>
    </row>
    <row r="1019" customFormat="false" ht="15" hidden="false" customHeight="false" outlineLevel="0" collapsed="false">
      <c r="A1019" s="27" t="n">
        <v>2024</v>
      </c>
      <c r="B1019" s="27" t="n">
        <v>11</v>
      </c>
      <c r="C1019" s="27" t="s">
        <v>38</v>
      </c>
      <c r="D1019" s="27" t="s">
        <v>28</v>
      </c>
      <c r="E1019" s="27" t="s">
        <v>54</v>
      </c>
      <c r="F1019" s="28" t="n">
        <v>443</v>
      </c>
      <c r="G1019" s="29" t="n">
        <v>2750</v>
      </c>
      <c r="H1019" s="29" t="n">
        <f aca="false">F1019*G1019</f>
        <v>1218250</v>
      </c>
    </row>
    <row r="1020" customFormat="false" ht="15" hidden="false" customHeight="false" outlineLevel="0" collapsed="false">
      <c r="A1020" s="27" t="n">
        <v>2024</v>
      </c>
      <c r="B1020" s="27" t="n">
        <v>11</v>
      </c>
      <c r="C1020" s="27" t="s">
        <v>38</v>
      </c>
      <c r="D1020" s="27" t="s">
        <v>28</v>
      </c>
      <c r="E1020" s="27" t="s">
        <v>56</v>
      </c>
      <c r="F1020" s="28" t="n">
        <v>512</v>
      </c>
      <c r="G1020" s="29" t="n">
        <v>2760</v>
      </c>
      <c r="H1020" s="29" t="n">
        <f aca="false">F1020*G1020</f>
        <v>1413120</v>
      </c>
    </row>
    <row r="1021" customFormat="false" ht="15" hidden="false" customHeight="false" outlineLevel="0" collapsed="false">
      <c r="A1021" s="27" t="n">
        <v>2024</v>
      </c>
      <c r="B1021" s="27" t="n">
        <v>11</v>
      </c>
      <c r="C1021" s="27" t="s">
        <v>38</v>
      </c>
      <c r="D1021" s="27" t="s">
        <v>28</v>
      </c>
      <c r="E1021" s="27" t="s">
        <v>58</v>
      </c>
      <c r="F1021" s="28" t="n">
        <v>340</v>
      </c>
      <c r="G1021" s="29" t="n">
        <v>2740</v>
      </c>
      <c r="H1021" s="29" t="n">
        <f aca="false">F1021*G1021</f>
        <v>931600</v>
      </c>
    </row>
    <row r="1022" customFormat="false" ht="15" hidden="false" customHeight="false" outlineLevel="0" collapsed="false">
      <c r="A1022" s="27" t="n">
        <v>2024</v>
      </c>
      <c r="B1022" s="27" t="n">
        <v>11</v>
      </c>
      <c r="C1022" s="27" t="s">
        <v>40</v>
      </c>
      <c r="D1022" s="27" t="s">
        <v>22</v>
      </c>
      <c r="E1022" s="27" t="s">
        <v>50</v>
      </c>
      <c r="F1022" s="28" t="n">
        <v>5720</v>
      </c>
      <c r="G1022" s="29" t="n">
        <v>2320</v>
      </c>
      <c r="H1022" s="29" t="n">
        <f aca="false">F1022*G1022</f>
        <v>13270400</v>
      </c>
    </row>
    <row r="1023" customFormat="false" ht="15" hidden="false" customHeight="false" outlineLevel="0" collapsed="false">
      <c r="A1023" s="27" t="n">
        <v>2024</v>
      </c>
      <c r="B1023" s="27" t="n">
        <v>11</v>
      </c>
      <c r="C1023" s="27" t="s">
        <v>40</v>
      </c>
      <c r="D1023" s="27" t="s">
        <v>22</v>
      </c>
      <c r="E1023" s="27" t="s">
        <v>52</v>
      </c>
      <c r="F1023" s="28" t="n">
        <v>3745</v>
      </c>
      <c r="G1023" s="29" t="n">
        <v>2280</v>
      </c>
      <c r="H1023" s="29" t="n">
        <f aca="false">F1023*G1023</f>
        <v>8538600</v>
      </c>
    </row>
    <row r="1024" customFormat="false" ht="15" hidden="false" customHeight="false" outlineLevel="0" collapsed="false">
      <c r="A1024" s="27" t="n">
        <v>2024</v>
      </c>
      <c r="B1024" s="27" t="n">
        <v>11</v>
      </c>
      <c r="C1024" s="27" t="s">
        <v>40</v>
      </c>
      <c r="D1024" s="27" t="s">
        <v>22</v>
      </c>
      <c r="E1024" s="27" t="s">
        <v>54</v>
      </c>
      <c r="F1024" s="28" t="n">
        <v>2545</v>
      </c>
      <c r="G1024" s="29" t="n">
        <v>2280</v>
      </c>
      <c r="H1024" s="29" t="n">
        <f aca="false">F1024*G1024</f>
        <v>5802600</v>
      </c>
    </row>
    <row r="1025" customFormat="false" ht="15" hidden="false" customHeight="false" outlineLevel="0" collapsed="false">
      <c r="A1025" s="27" t="n">
        <v>2024</v>
      </c>
      <c r="B1025" s="27" t="n">
        <v>11</v>
      </c>
      <c r="C1025" s="27" t="s">
        <v>40</v>
      </c>
      <c r="D1025" s="27" t="s">
        <v>22</v>
      </c>
      <c r="E1025" s="27" t="s">
        <v>56</v>
      </c>
      <c r="F1025" s="28" t="n">
        <v>3354</v>
      </c>
      <c r="G1025" s="29" t="n">
        <v>2310</v>
      </c>
      <c r="H1025" s="29" t="n">
        <f aca="false">F1025*G1025</f>
        <v>7747740</v>
      </c>
    </row>
    <row r="1026" customFormat="false" ht="15" hidden="false" customHeight="false" outlineLevel="0" collapsed="false">
      <c r="A1026" s="27" t="n">
        <v>2024</v>
      </c>
      <c r="B1026" s="27" t="n">
        <v>11</v>
      </c>
      <c r="C1026" s="27" t="s">
        <v>40</v>
      </c>
      <c r="D1026" s="27" t="s">
        <v>22</v>
      </c>
      <c r="E1026" s="27" t="s">
        <v>58</v>
      </c>
      <c r="F1026" s="28" t="n">
        <v>2233</v>
      </c>
      <c r="G1026" s="29" t="n">
        <v>2270</v>
      </c>
      <c r="H1026" s="29" t="n">
        <f aca="false">F1026*G1026</f>
        <v>5068910</v>
      </c>
    </row>
    <row r="1027" customFormat="false" ht="15" hidden="false" customHeight="false" outlineLevel="0" collapsed="false">
      <c r="A1027" s="27" t="n">
        <v>2024</v>
      </c>
      <c r="B1027" s="27" t="n">
        <v>11</v>
      </c>
      <c r="C1027" s="27" t="s">
        <v>40</v>
      </c>
      <c r="D1027" s="27" t="s">
        <v>24</v>
      </c>
      <c r="E1027" s="27" t="s">
        <v>50</v>
      </c>
      <c r="F1027" s="28" t="n">
        <v>3066</v>
      </c>
      <c r="G1027" s="29" t="n">
        <v>2110</v>
      </c>
      <c r="H1027" s="29" t="n">
        <f aca="false">F1027*G1027</f>
        <v>6469260</v>
      </c>
    </row>
    <row r="1028" customFormat="false" ht="15" hidden="false" customHeight="false" outlineLevel="0" collapsed="false">
      <c r="A1028" s="27" t="n">
        <v>2024</v>
      </c>
      <c r="B1028" s="27" t="n">
        <v>11</v>
      </c>
      <c r="C1028" s="27" t="s">
        <v>40</v>
      </c>
      <c r="D1028" s="27" t="s">
        <v>24</v>
      </c>
      <c r="E1028" s="27" t="s">
        <v>52</v>
      </c>
      <c r="F1028" s="28" t="n">
        <v>1952</v>
      </c>
      <c r="G1028" s="29" t="n">
        <v>2200</v>
      </c>
      <c r="H1028" s="29" t="n">
        <f aca="false">F1028*G1028</f>
        <v>4294400</v>
      </c>
    </row>
    <row r="1029" customFormat="false" ht="15" hidden="false" customHeight="false" outlineLevel="0" collapsed="false">
      <c r="A1029" s="27" t="n">
        <v>2024</v>
      </c>
      <c r="B1029" s="27" t="n">
        <v>11</v>
      </c>
      <c r="C1029" s="27" t="s">
        <v>40</v>
      </c>
      <c r="D1029" s="27" t="s">
        <v>24</v>
      </c>
      <c r="E1029" s="27" t="s">
        <v>54</v>
      </c>
      <c r="F1029" s="28" t="n">
        <v>1503</v>
      </c>
      <c r="G1029" s="29" t="n">
        <v>2150</v>
      </c>
      <c r="H1029" s="29" t="n">
        <f aca="false">F1029*G1029</f>
        <v>3231450</v>
      </c>
    </row>
    <row r="1030" customFormat="false" ht="15" hidden="false" customHeight="false" outlineLevel="0" collapsed="false">
      <c r="A1030" s="27" t="n">
        <v>2024</v>
      </c>
      <c r="B1030" s="27" t="n">
        <v>11</v>
      </c>
      <c r="C1030" s="27" t="s">
        <v>40</v>
      </c>
      <c r="D1030" s="27" t="s">
        <v>24</v>
      </c>
      <c r="E1030" s="27" t="s">
        <v>56</v>
      </c>
      <c r="F1030" s="28" t="n">
        <v>1710</v>
      </c>
      <c r="G1030" s="29" t="n">
        <v>2100</v>
      </c>
      <c r="H1030" s="29" t="n">
        <f aca="false">F1030*G1030</f>
        <v>3591000</v>
      </c>
    </row>
    <row r="1031" customFormat="false" ht="15" hidden="false" customHeight="false" outlineLevel="0" collapsed="false">
      <c r="A1031" s="27" t="n">
        <v>2024</v>
      </c>
      <c r="B1031" s="27" t="n">
        <v>11</v>
      </c>
      <c r="C1031" s="27" t="s">
        <v>40</v>
      </c>
      <c r="D1031" s="27" t="s">
        <v>24</v>
      </c>
      <c r="E1031" s="27" t="s">
        <v>58</v>
      </c>
      <c r="F1031" s="28" t="n">
        <v>1163</v>
      </c>
      <c r="G1031" s="29" t="n">
        <v>2120</v>
      </c>
      <c r="H1031" s="29" t="n">
        <f aca="false">F1031*G1031</f>
        <v>2465560</v>
      </c>
    </row>
    <row r="1032" customFormat="false" ht="15" hidden="false" customHeight="false" outlineLevel="0" collapsed="false">
      <c r="A1032" s="27" t="n">
        <v>2024</v>
      </c>
      <c r="B1032" s="27" t="n">
        <v>11</v>
      </c>
      <c r="C1032" s="27" t="s">
        <v>40</v>
      </c>
      <c r="D1032" s="27" t="s">
        <v>26</v>
      </c>
      <c r="E1032" s="27" t="s">
        <v>50</v>
      </c>
      <c r="F1032" s="28" t="n">
        <v>1319</v>
      </c>
      <c r="G1032" s="29" t="n">
        <v>2620</v>
      </c>
      <c r="H1032" s="29" t="n">
        <f aca="false">F1032*G1032</f>
        <v>3455780</v>
      </c>
    </row>
    <row r="1033" customFormat="false" ht="15" hidden="false" customHeight="false" outlineLevel="0" collapsed="false">
      <c r="A1033" s="27" t="n">
        <v>2024</v>
      </c>
      <c r="B1033" s="27" t="n">
        <v>11</v>
      </c>
      <c r="C1033" s="27" t="s">
        <v>40</v>
      </c>
      <c r="D1033" s="27" t="s">
        <v>26</v>
      </c>
      <c r="E1033" s="27" t="s">
        <v>52</v>
      </c>
      <c r="F1033" s="28" t="n">
        <v>901</v>
      </c>
      <c r="G1033" s="29" t="n">
        <v>2590</v>
      </c>
      <c r="H1033" s="29" t="n">
        <f aca="false">F1033*G1033</f>
        <v>2333590</v>
      </c>
    </row>
    <row r="1034" customFormat="false" ht="15" hidden="false" customHeight="false" outlineLevel="0" collapsed="false">
      <c r="A1034" s="27" t="n">
        <v>2024</v>
      </c>
      <c r="B1034" s="27" t="n">
        <v>11</v>
      </c>
      <c r="C1034" s="27" t="s">
        <v>40</v>
      </c>
      <c r="D1034" s="27" t="s">
        <v>26</v>
      </c>
      <c r="E1034" s="27" t="s">
        <v>54</v>
      </c>
      <c r="F1034" s="28" t="n">
        <v>700</v>
      </c>
      <c r="G1034" s="29" t="n">
        <v>2570</v>
      </c>
      <c r="H1034" s="29" t="n">
        <f aca="false">F1034*G1034</f>
        <v>1799000</v>
      </c>
    </row>
    <row r="1035" customFormat="false" ht="15" hidden="false" customHeight="false" outlineLevel="0" collapsed="false">
      <c r="A1035" s="27" t="n">
        <v>2024</v>
      </c>
      <c r="B1035" s="27" t="n">
        <v>11</v>
      </c>
      <c r="C1035" s="27" t="s">
        <v>40</v>
      </c>
      <c r="D1035" s="27" t="s">
        <v>26</v>
      </c>
      <c r="E1035" s="27" t="s">
        <v>56</v>
      </c>
      <c r="F1035" s="28" t="n">
        <v>885</v>
      </c>
      <c r="G1035" s="29" t="n">
        <v>2580</v>
      </c>
      <c r="H1035" s="29" t="n">
        <f aca="false">F1035*G1035</f>
        <v>2283300</v>
      </c>
    </row>
    <row r="1036" customFormat="false" ht="15" hidden="false" customHeight="false" outlineLevel="0" collapsed="false">
      <c r="A1036" s="27" t="n">
        <v>2024</v>
      </c>
      <c r="B1036" s="27" t="n">
        <v>11</v>
      </c>
      <c r="C1036" s="27" t="s">
        <v>40</v>
      </c>
      <c r="D1036" s="27" t="s">
        <v>26</v>
      </c>
      <c r="E1036" s="27" t="s">
        <v>58</v>
      </c>
      <c r="F1036" s="28" t="n">
        <v>593</v>
      </c>
      <c r="G1036" s="29" t="n">
        <v>2570</v>
      </c>
      <c r="H1036" s="29" t="n">
        <f aca="false">F1036*G1036</f>
        <v>1524010</v>
      </c>
    </row>
    <row r="1037" customFormat="false" ht="15" hidden="false" customHeight="false" outlineLevel="0" collapsed="false">
      <c r="A1037" s="27" t="n">
        <v>2024</v>
      </c>
      <c r="B1037" s="27" t="n">
        <v>11</v>
      </c>
      <c r="C1037" s="27" t="s">
        <v>40</v>
      </c>
      <c r="D1037" s="27" t="s">
        <v>28</v>
      </c>
      <c r="E1037" s="27" t="s">
        <v>50</v>
      </c>
      <c r="F1037" s="28" t="n">
        <v>537</v>
      </c>
      <c r="G1037" s="29" t="n">
        <v>2380</v>
      </c>
      <c r="H1037" s="29" t="n">
        <f aca="false">F1037*G1037</f>
        <v>1278060</v>
      </c>
    </row>
    <row r="1038" customFormat="false" ht="15" hidden="false" customHeight="false" outlineLevel="0" collapsed="false">
      <c r="A1038" s="27" t="n">
        <v>2024</v>
      </c>
      <c r="B1038" s="27" t="n">
        <v>11</v>
      </c>
      <c r="C1038" s="27" t="s">
        <v>40</v>
      </c>
      <c r="D1038" s="27" t="s">
        <v>28</v>
      </c>
      <c r="E1038" s="27" t="s">
        <v>52</v>
      </c>
      <c r="F1038" s="28" t="n">
        <v>308</v>
      </c>
      <c r="G1038" s="29" t="n">
        <v>2410</v>
      </c>
      <c r="H1038" s="29" t="n">
        <f aca="false">F1038*G1038</f>
        <v>742280</v>
      </c>
    </row>
    <row r="1039" customFormat="false" ht="15" hidden="false" customHeight="false" outlineLevel="0" collapsed="false">
      <c r="A1039" s="27" t="n">
        <v>2024</v>
      </c>
      <c r="B1039" s="27" t="n">
        <v>11</v>
      </c>
      <c r="C1039" s="27" t="s">
        <v>40</v>
      </c>
      <c r="D1039" s="27" t="s">
        <v>28</v>
      </c>
      <c r="E1039" s="27" t="s">
        <v>54</v>
      </c>
      <c r="F1039" s="28" t="n">
        <v>274</v>
      </c>
      <c r="G1039" s="29" t="n">
        <v>2380</v>
      </c>
      <c r="H1039" s="29" t="n">
        <f aca="false">F1039*G1039</f>
        <v>652120</v>
      </c>
    </row>
    <row r="1040" customFormat="false" ht="15" hidden="false" customHeight="false" outlineLevel="0" collapsed="false">
      <c r="A1040" s="27" t="n">
        <v>2024</v>
      </c>
      <c r="B1040" s="27" t="n">
        <v>11</v>
      </c>
      <c r="C1040" s="27" t="s">
        <v>40</v>
      </c>
      <c r="D1040" s="27" t="s">
        <v>28</v>
      </c>
      <c r="E1040" s="27" t="s">
        <v>56</v>
      </c>
      <c r="F1040" s="28" t="n">
        <v>324</v>
      </c>
      <c r="G1040" s="29" t="n">
        <v>2420</v>
      </c>
      <c r="H1040" s="29" t="n">
        <f aca="false">F1040*G1040</f>
        <v>784080</v>
      </c>
    </row>
    <row r="1041" customFormat="false" ht="15" hidden="false" customHeight="false" outlineLevel="0" collapsed="false">
      <c r="A1041" s="27" t="n">
        <v>2024</v>
      </c>
      <c r="B1041" s="27" t="n">
        <v>11</v>
      </c>
      <c r="C1041" s="27" t="s">
        <v>40</v>
      </c>
      <c r="D1041" s="27" t="s">
        <v>28</v>
      </c>
      <c r="E1041" s="27" t="s">
        <v>58</v>
      </c>
      <c r="F1041" s="28" t="n">
        <v>198</v>
      </c>
      <c r="G1041" s="29" t="n">
        <v>2390</v>
      </c>
      <c r="H1041" s="29" t="n">
        <f aca="false">F1041*G1041</f>
        <v>473220</v>
      </c>
    </row>
    <row r="1042" customFormat="false" ht="15" hidden="false" customHeight="false" outlineLevel="0" collapsed="false">
      <c r="A1042" s="27" t="n">
        <v>2024</v>
      </c>
      <c r="B1042" s="27" t="n">
        <v>11</v>
      </c>
      <c r="C1042" s="27" t="s">
        <v>42</v>
      </c>
      <c r="D1042" s="27" t="s">
        <v>22</v>
      </c>
      <c r="E1042" s="27" t="s">
        <v>50</v>
      </c>
      <c r="F1042" s="28" t="n">
        <v>4949</v>
      </c>
      <c r="G1042" s="29" t="n">
        <v>2110</v>
      </c>
      <c r="H1042" s="29" t="n">
        <f aca="false">F1042*G1042</f>
        <v>10442390</v>
      </c>
    </row>
    <row r="1043" customFormat="false" ht="15" hidden="false" customHeight="false" outlineLevel="0" collapsed="false">
      <c r="A1043" s="27" t="n">
        <v>2024</v>
      </c>
      <c r="B1043" s="27" t="n">
        <v>11</v>
      </c>
      <c r="C1043" s="27" t="s">
        <v>42</v>
      </c>
      <c r="D1043" s="27" t="s">
        <v>22</v>
      </c>
      <c r="E1043" s="27" t="s">
        <v>52</v>
      </c>
      <c r="F1043" s="28" t="n">
        <v>2857</v>
      </c>
      <c r="G1043" s="29" t="n">
        <v>2100</v>
      </c>
      <c r="H1043" s="29" t="n">
        <f aca="false">F1043*G1043</f>
        <v>5999700</v>
      </c>
    </row>
    <row r="1044" customFormat="false" ht="15" hidden="false" customHeight="false" outlineLevel="0" collapsed="false">
      <c r="A1044" s="27" t="n">
        <v>2024</v>
      </c>
      <c r="B1044" s="27" t="n">
        <v>11</v>
      </c>
      <c r="C1044" s="27" t="s">
        <v>42</v>
      </c>
      <c r="D1044" s="27" t="s">
        <v>22</v>
      </c>
      <c r="E1044" s="27" t="s">
        <v>54</v>
      </c>
      <c r="F1044" s="28" t="n">
        <v>2549</v>
      </c>
      <c r="G1044" s="29" t="n">
        <v>2120</v>
      </c>
      <c r="H1044" s="29" t="n">
        <f aca="false">F1044*G1044</f>
        <v>5403880</v>
      </c>
    </row>
    <row r="1045" customFormat="false" ht="15" hidden="false" customHeight="false" outlineLevel="0" collapsed="false">
      <c r="A1045" s="27" t="n">
        <v>2024</v>
      </c>
      <c r="B1045" s="27" t="n">
        <v>11</v>
      </c>
      <c r="C1045" s="27" t="s">
        <v>42</v>
      </c>
      <c r="D1045" s="27" t="s">
        <v>22</v>
      </c>
      <c r="E1045" s="27" t="s">
        <v>56</v>
      </c>
      <c r="F1045" s="28" t="n">
        <v>2866</v>
      </c>
      <c r="G1045" s="29" t="n">
        <v>2090</v>
      </c>
      <c r="H1045" s="29" t="n">
        <f aca="false">F1045*G1045</f>
        <v>5989940</v>
      </c>
    </row>
    <row r="1046" customFormat="false" ht="15" hidden="false" customHeight="false" outlineLevel="0" collapsed="false">
      <c r="A1046" s="27" t="n">
        <v>2024</v>
      </c>
      <c r="B1046" s="27" t="n">
        <v>11</v>
      </c>
      <c r="C1046" s="27" t="s">
        <v>42</v>
      </c>
      <c r="D1046" s="27" t="s">
        <v>22</v>
      </c>
      <c r="E1046" s="27" t="s">
        <v>58</v>
      </c>
      <c r="F1046" s="28" t="n">
        <v>1909</v>
      </c>
      <c r="G1046" s="29" t="n">
        <v>2110</v>
      </c>
      <c r="H1046" s="29" t="n">
        <f aca="false">F1046*G1046</f>
        <v>4027990</v>
      </c>
    </row>
    <row r="1047" customFormat="false" ht="15" hidden="false" customHeight="false" outlineLevel="0" collapsed="false">
      <c r="A1047" s="27" t="n">
        <v>2024</v>
      </c>
      <c r="B1047" s="27" t="n">
        <v>11</v>
      </c>
      <c r="C1047" s="27" t="s">
        <v>42</v>
      </c>
      <c r="D1047" s="27" t="s">
        <v>24</v>
      </c>
      <c r="E1047" s="27" t="s">
        <v>50</v>
      </c>
      <c r="F1047" s="28" t="n">
        <v>2645</v>
      </c>
      <c r="G1047" s="29" t="n">
        <v>1970</v>
      </c>
      <c r="H1047" s="29" t="n">
        <f aca="false">F1047*G1047</f>
        <v>5210650</v>
      </c>
    </row>
    <row r="1048" customFormat="false" ht="15" hidden="false" customHeight="false" outlineLevel="0" collapsed="false">
      <c r="A1048" s="27" t="n">
        <v>2024</v>
      </c>
      <c r="B1048" s="27" t="n">
        <v>11</v>
      </c>
      <c r="C1048" s="27" t="s">
        <v>42</v>
      </c>
      <c r="D1048" s="27" t="s">
        <v>24</v>
      </c>
      <c r="E1048" s="27" t="s">
        <v>52</v>
      </c>
      <c r="F1048" s="28" t="n">
        <v>1648</v>
      </c>
      <c r="G1048" s="29" t="n">
        <v>1970</v>
      </c>
      <c r="H1048" s="29" t="n">
        <f aca="false">F1048*G1048</f>
        <v>3246560</v>
      </c>
    </row>
    <row r="1049" customFormat="false" ht="15" hidden="false" customHeight="false" outlineLevel="0" collapsed="false">
      <c r="A1049" s="27" t="n">
        <v>2024</v>
      </c>
      <c r="B1049" s="27" t="n">
        <v>11</v>
      </c>
      <c r="C1049" s="27" t="s">
        <v>42</v>
      </c>
      <c r="D1049" s="27" t="s">
        <v>24</v>
      </c>
      <c r="E1049" s="27" t="s">
        <v>54</v>
      </c>
      <c r="F1049" s="28" t="n">
        <v>1316</v>
      </c>
      <c r="G1049" s="29" t="n">
        <v>1970</v>
      </c>
      <c r="H1049" s="29" t="n">
        <f aca="false">F1049*G1049</f>
        <v>2592520</v>
      </c>
    </row>
    <row r="1050" customFormat="false" ht="15" hidden="false" customHeight="false" outlineLevel="0" collapsed="false">
      <c r="A1050" s="27" t="n">
        <v>2024</v>
      </c>
      <c r="B1050" s="27" t="n">
        <v>11</v>
      </c>
      <c r="C1050" s="27" t="s">
        <v>42</v>
      </c>
      <c r="D1050" s="27" t="s">
        <v>24</v>
      </c>
      <c r="E1050" s="27" t="s">
        <v>56</v>
      </c>
      <c r="F1050" s="28" t="n">
        <v>1623</v>
      </c>
      <c r="G1050" s="29" t="n">
        <v>1940</v>
      </c>
      <c r="H1050" s="29" t="n">
        <f aca="false">F1050*G1050</f>
        <v>3148620</v>
      </c>
    </row>
    <row r="1051" customFormat="false" ht="15" hidden="false" customHeight="false" outlineLevel="0" collapsed="false">
      <c r="A1051" s="27" t="n">
        <v>2024</v>
      </c>
      <c r="B1051" s="27" t="n">
        <v>11</v>
      </c>
      <c r="C1051" s="27" t="s">
        <v>42</v>
      </c>
      <c r="D1051" s="27" t="s">
        <v>24</v>
      </c>
      <c r="E1051" s="27" t="s">
        <v>58</v>
      </c>
      <c r="F1051" s="28" t="n">
        <v>968</v>
      </c>
      <c r="G1051" s="29" t="n">
        <v>1980</v>
      </c>
      <c r="H1051" s="29" t="n">
        <f aca="false">F1051*G1051</f>
        <v>1916640</v>
      </c>
    </row>
    <row r="1052" customFormat="false" ht="15" hidden="false" customHeight="false" outlineLevel="0" collapsed="false">
      <c r="A1052" s="27" t="n">
        <v>2024</v>
      </c>
      <c r="B1052" s="27" t="n">
        <v>11</v>
      </c>
      <c r="C1052" s="27" t="s">
        <v>42</v>
      </c>
      <c r="D1052" s="27" t="s">
        <v>26</v>
      </c>
      <c r="E1052" s="27" t="s">
        <v>50</v>
      </c>
      <c r="F1052" s="28" t="n">
        <v>1277</v>
      </c>
      <c r="G1052" s="29" t="n">
        <v>2310</v>
      </c>
      <c r="H1052" s="29" t="n">
        <f aca="false">F1052*G1052</f>
        <v>2949870</v>
      </c>
    </row>
    <row r="1053" customFormat="false" ht="15" hidden="false" customHeight="false" outlineLevel="0" collapsed="false">
      <c r="A1053" s="27" t="n">
        <v>2024</v>
      </c>
      <c r="B1053" s="27" t="n">
        <v>11</v>
      </c>
      <c r="C1053" s="27" t="s">
        <v>42</v>
      </c>
      <c r="D1053" s="27" t="s">
        <v>26</v>
      </c>
      <c r="E1053" s="27" t="s">
        <v>52</v>
      </c>
      <c r="F1053" s="28" t="n">
        <v>760</v>
      </c>
      <c r="G1053" s="29" t="n">
        <v>2370</v>
      </c>
      <c r="H1053" s="29" t="n">
        <f aca="false">F1053*G1053</f>
        <v>1801200</v>
      </c>
    </row>
    <row r="1054" customFormat="false" ht="15" hidden="false" customHeight="false" outlineLevel="0" collapsed="false">
      <c r="A1054" s="27" t="n">
        <v>2024</v>
      </c>
      <c r="B1054" s="27" t="n">
        <v>11</v>
      </c>
      <c r="C1054" s="27" t="s">
        <v>42</v>
      </c>
      <c r="D1054" s="27" t="s">
        <v>26</v>
      </c>
      <c r="E1054" s="27" t="s">
        <v>54</v>
      </c>
      <c r="F1054" s="28" t="n">
        <v>622</v>
      </c>
      <c r="G1054" s="29" t="n">
        <v>2340</v>
      </c>
      <c r="H1054" s="29" t="n">
        <f aca="false">F1054*G1054</f>
        <v>1455480</v>
      </c>
    </row>
    <row r="1055" customFormat="false" ht="15" hidden="false" customHeight="false" outlineLevel="0" collapsed="false">
      <c r="A1055" s="27" t="n">
        <v>2024</v>
      </c>
      <c r="B1055" s="27" t="n">
        <v>11</v>
      </c>
      <c r="C1055" s="27" t="s">
        <v>42</v>
      </c>
      <c r="D1055" s="27" t="s">
        <v>26</v>
      </c>
      <c r="E1055" s="27" t="s">
        <v>56</v>
      </c>
      <c r="F1055" s="28" t="n">
        <v>801</v>
      </c>
      <c r="G1055" s="29" t="n">
        <v>2330</v>
      </c>
      <c r="H1055" s="29" t="n">
        <f aca="false">F1055*G1055</f>
        <v>1866330</v>
      </c>
    </row>
    <row r="1056" customFormat="false" ht="15" hidden="false" customHeight="false" outlineLevel="0" collapsed="false">
      <c r="A1056" s="27" t="n">
        <v>2024</v>
      </c>
      <c r="B1056" s="27" t="n">
        <v>11</v>
      </c>
      <c r="C1056" s="27" t="s">
        <v>42</v>
      </c>
      <c r="D1056" s="27" t="s">
        <v>26</v>
      </c>
      <c r="E1056" s="27" t="s">
        <v>58</v>
      </c>
      <c r="F1056" s="28" t="n">
        <v>492</v>
      </c>
      <c r="G1056" s="29" t="n">
        <v>2360</v>
      </c>
      <c r="H1056" s="29" t="n">
        <f aca="false">F1056*G1056</f>
        <v>1161120</v>
      </c>
    </row>
    <row r="1057" customFormat="false" ht="15" hidden="false" customHeight="false" outlineLevel="0" collapsed="false">
      <c r="A1057" s="27" t="n">
        <v>2024</v>
      </c>
      <c r="B1057" s="27" t="n">
        <v>11</v>
      </c>
      <c r="C1057" s="27" t="s">
        <v>42</v>
      </c>
      <c r="D1057" s="27" t="s">
        <v>28</v>
      </c>
      <c r="E1057" s="27" t="s">
        <v>50</v>
      </c>
      <c r="F1057" s="28" t="n">
        <v>495</v>
      </c>
      <c r="G1057" s="29" t="n">
        <v>2220</v>
      </c>
      <c r="H1057" s="29" t="n">
        <f aca="false">F1057*G1057</f>
        <v>1098900</v>
      </c>
    </row>
    <row r="1058" customFormat="false" ht="15" hidden="false" customHeight="false" outlineLevel="0" collapsed="false">
      <c r="A1058" s="27" t="n">
        <v>2024</v>
      </c>
      <c r="B1058" s="27" t="n">
        <v>11</v>
      </c>
      <c r="C1058" s="27" t="s">
        <v>42</v>
      </c>
      <c r="D1058" s="27" t="s">
        <v>28</v>
      </c>
      <c r="E1058" s="27" t="s">
        <v>52</v>
      </c>
      <c r="F1058" s="28" t="n">
        <v>317</v>
      </c>
      <c r="G1058" s="29" t="n">
        <v>2210</v>
      </c>
      <c r="H1058" s="29" t="n">
        <f aca="false">F1058*G1058</f>
        <v>700570</v>
      </c>
    </row>
    <row r="1059" customFormat="false" ht="15" hidden="false" customHeight="false" outlineLevel="0" collapsed="false">
      <c r="A1059" s="27" t="n">
        <v>2024</v>
      </c>
      <c r="B1059" s="27" t="n">
        <v>11</v>
      </c>
      <c r="C1059" s="27" t="s">
        <v>42</v>
      </c>
      <c r="D1059" s="27" t="s">
        <v>28</v>
      </c>
      <c r="E1059" s="27" t="s">
        <v>54</v>
      </c>
      <c r="F1059" s="28" t="n">
        <v>248</v>
      </c>
      <c r="G1059" s="29" t="n">
        <v>2200</v>
      </c>
      <c r="H1059" s="29" t="n">
        <f aca="false">F1059*G1059</f>
        <v>545600</v>
      </c>
    </row>
    <row r="1060" customFormat="false" ht="15" hidden="false" customHeight="false" outlineLevel="0" collapsed="false">
      <c r="A1060" s="27" t="n">
        <v>2024</v>
      </c>
      <c r="B1060" s="27" t="n">
        <v>11</v>
      </c>
      <c r="C1060" s="27" t="s">
        <v>42</v>
      </c>
      <c r="D1060" s="27" t="s">
        <v>28</v>
      </c>
      <c r="E1060" s="27" t="s">
        <v>56</v>
      </c>
      <c r="F1060" s="28" t="n">
        <v>289</v>
      </c>
      <c r="G1060" s="29" t="n">
        <v>2210</v>
      </c>
      <c r="H1060" s="29" t="n">
        <f aca="false">F1060*G1060</f>
        <v>638690</v>
      </c>
    </row>
    <row r="1061" customFormat="false" ht="15" hidden="false" customHeight="false" outlineLevel="0" collapsed="false">
      <c r="A1061" s="27" t="n">
        <v>2024</v>
      </c>
      <c r="B1061" s="27" t="n">
        <v>11</v>
      </c>
      <c r="C1061" s="27" t="s">
        <v>42</v>
      </c>
      <c r="D1061" s="27" t="s">
        <v>28</v>
      </c>
      <c r="E1061" s="27" t="s">
        <v>58</v>
      </c>
      <c r="F1061" s="28" t="n">
        <v>199</v>
      </c>
      <c r="G1061" s="29" t="n">
        <v>2220</v>
      </c>
      <c r="H1061" s="29" t="n">
        <f aca="false">F1061*G1061</f>
        <v>441780</v>
      </c>
    </row>
    <row r="1062" customFormat="false" ht="15" hidden="false" customHeight="false" outlineLevel="0" collapsed="false">
      <c r="A1062" s="27" t="n">
        <v>2024</v>
      </c>
      <c r="B1062" s="27" t="n">
        <v>11</v>
      </c>
      <c r="C1062" s="27" t="s">
        <v>44</v>
      </c>
      <c r="D1062" s="27" t="s">
        <v>22</v>
      </c>
      <c r="E1062" s="27" t="s">
        <v>50</v>
      </c>
      <c r="F1062" s="28" t="n">
        <v>2719</v>
      </c>
      <c r="G1062" s="29" t="n">
        <v>3900</v>
      </c>
      <c r="H1062" s="29" t="n">
        <f aca="false">F1062*G1062</f>
        <v>10604100</v>
      </c>
    </row>
    <row r="1063" customFormat="false" ht="15" hidden="false" customHeight="false" outlineLevel="0" collapsed="false">
      <c r="A1063" s="27" t="n">
        <v>2024</v>
      </c>
      <c r="B1063" s="27" t="n">
        <v>11</v>
      </c>
      <c r="C1063" s="27" t="s">
        <v>44</v>
      </c>
      <c r="D1063" s="27" t="s">
        <v>22</v>
      </c>
      <c r="E1063" s="27" t="s">
        <v>52</v>
      </c>
      <c r="F1063" s="28" t="n">
        <v>1587</v>
      </c>
      <c r="G1063" s="29" t="n">
        <v>3900</v>
      </c>
      <c r="H1063" s="29" t="n">
        <f aca="false">F1063*G1063</f>
        <v>6189300</v>
      </c>
    </row>
    <row r="1064" customFormat="false" ht="15" hidden="false" customHeight="false" outlineLevel="0" collapsed="false">
      <c r="A1064" s="27" t="n">
        <v>2024</v>
      </c>
      <c r="B1064" s="27" t="n">
        <v>11</v>
      </c>
      <c r="C1064" s="27" t="s">
        <v>44</v>
      </c>
      <c r="D1064" s="27" t="s">
        <v>22</v>
      </c>
      <c r="E1064" s="27" t="s">
        <v>54</v>
      </c>
      <c r="F1064" s="28" t="n">
        <v>1321</v>
      </c>
      <c r="G1064" s="29" t="n">
        <v>3910</v>
      </c>
      <c r="H1064" s="29" t="n">
        <f aca="false">F1064*G1064</f>
        <v>5165110</v>
      </c>
    </row>
    <row r="1065" customFormat="false" ht="15" hidden="false" customHeight="false" outlineLevel="0" collapsed="false">
      <c r="A1065" s="27" t="n">
        <v>2024</v>
      </c>
      <c r="B1065" s="27" t="n">
        <v>11</v>
      </c>
      <c r="C1065" s="27" t="s">
        <v>44</v>
      </c>
      <c r="D1065" s="27" t="s">
        <v>22</v>
      </c>
      <c r="E1065" s="27" t="s">
        <v>56</v>
      </c>
      <c r="F1065" s="28" t="n">
        <v>1744</v>
      </c>
      <c r="G1065" s="29" t="n">
        <v>3880</v>
      </c>
      <c r="H1065" s="29" t="n">
        <f aca="false">F1065*G1065</f>
        <v>6766720</v>
      </c>
    </row>
    <row r="1066" customFormat="false" ht="15" hidden="false" customHeight="false" outlineLevel="0" collapsed="false">
      <c r="A1066" s="27" t="n">
        <v>2024</v>
      </c>
      <c r="B1066" s="27" t="n">
        <v>11</v>
      </c>
      <c r="C1066" s="27" t="s">
        <v>44</v>
      </c>
      <c r="D1066" s="27" t="s">
        <v>22</v>
      </c>
      <c r="E1066" s="27" t="s">
        <v>58</v>
      </c>
      <c r="F1066" s="28" t="n">
        <v>1098</v>
      </c>
      <c r="G1066" s="29" t="n">
        <v>3940</v>
      </c>
      <c r="H1066" s="29" t="n">
        <f aca="false">F1066*G1066</f>
        <v>4326120</v>
      </c>
    </row>
    <row r="1067" customFormat="false" ht="15" hidden="false" customHeight="false" outlineLevel="0" collapsed="false">
      <c r="A1067" s="27" t="n">
        <v>2024</v>
      </c>
      <c r="B1067" s="27" t="n">
        <v>11</v>
      </c>
      <c r="C1067" s="27" t="s">
        <v>44</v>
      </c>
      <c r="D1067" s="27" t="s">
        <v>24</v>
      </c>
      <c r="E1067" s="27" t="s">
        <v>50</v>
      </c>
      <c r="F1067" s="28" t="n">
        <v>1436</v>
      </c>
      <c r="G1067" s="29" t="n">
        <v>3710</v>
      </c>
      <c r="H1067" s="29" t="n">
        <f aca="false">F1067*G1067</f>
        <v>5327560</v>
      </c>
    </row>
    <row r="1068" customFormat="false" ht="15" hidden="false" customHeight="false" outlineLevel="0" collapsed="false">
      <c r="A1068" s="27" t="n">
        <v>2024</v>
      </c>
      <c r="B1068" s="27" t="n">
        <v>11</v>
      </c>
      <c r="C1068" s="27" t="s">
        <v>44</v>
      </c>
      <c r="D1068" s="27" t="s">
        <v>24</v>
      </c>
      <c r="E1068" s="27" t="s">
        <v>52</v>
      </c>
      <c r="F1068" s="28" t="n">
        <v>876</v>
      </c>
      <c r="G1068" s="29" t="n">
        <v>3640</v>
      </c>
      <c r="H1068" s="29" t="n">
        <f aca="false">F1068*G1068</f>
        <v>3188640</v>
      </c>
    </row>
    <row r="1069" customFormat="false" ht="15" hidden="false" customHeight="false" outlineLevel="0" collapsed="false">
      <c r="A1069" s="27" t="n">
        <v>2024</v>
      </c>
      <c r="B1069" s="27" t="n">
        <v>11</v>
      </c>
      <c r="C1069" s="27" t="s">
        <v>44</v>
      </c>
      <c r="D1069" s="27" t="s">
        <v>24</v>
      </c>
      <c r="E1069" s="27" t="s">
        <v>54</v>
      </c>
      <c r="F1069" s="28" t="n">
        <v>686</v>
      </c>
      <c r="G1069" s="29" t="n">
        <v>3610</v>
      </c>
      <c r="H1069" s="29" t="n">
        <f aca="false">F1069*G1069</f>
        <v>2476460</v>
      </c>
    </row>
    <row r="1070" customFormat="false" ht="15" hidden="false" customHeight="false" outlineLevel="0" collapsed="false">
      <c r="A1070" s="27" t="n">
        <v>2024</v>
      </c>
      <c r="B1070" s="27" t="n">
        <v>11</v>
      </c>
      <c r="C1070" s="27" t="s">
        <v>44</v>
      </c>
      <c r="D1070" s="27" t="s">
        <v>24</v>
      </c>
      <c r="E1070" s="27" t="s">
        <v>56</v>
      </c>
      <c r="F1070" s="28" t="n">
        <v>859</v>
      </c>
      <c r="G1070" s="29" t="n">
        <v>3660</v>
      </c>
      <c r="H1070" s="29" t="n">
        <f aca="false">F1070*G1070</f>
        <v>3143940</v>
      </c>
    </row>
    <row r="1071" customFormat="false" ht="15" hidden="false" customHeight="false" outlineLevel="0" collapsed="false">
      <c r="A1071" s="27" t="n">
        <v>2024</v>
      </c>
      <c r="B1071" s="27" t="n">
        <v>11</v>
      </c>
      <c r="C1071" s="27" t="s">
        <v>44</v>
      </c>
      <c r="D1071" s="27" t="s">
        <v>24</v>
      </c>
      <c r="E1071" s="27" t="s">
        <v>58</v>
      </c>
      <c r="F1071" s="28" t="n">
        <v>590</v>
      </c>
      <c r="G1071" s="29" t="n">
        <v>3670</v>
      </c>
      <c r="H1071" s="29" t="n">
        <f aca="false">F1071*G1071</f>
        <v>2165300</v>
      </c>
    </row>
    <row r="1072" customFormat="false" ht="15" hidden="false" customHeight="false" outlineLevel="0" collapsed="false">
      <c r="A1072" s="27" t="n">
        <v>2024</v>
      </c>
      <c r="B1072" s="27" t="n">
        <v>11</v>
      </c>
      <c r="C1072" s="27" t="s">
        <v>44</v>
      </c>
      <c r="D1072" s="27" t="s">
        <v>26</v>
      </c>
      <c r="E1072" s="27" t="s">
        <v>50</v>
      </c>
      <c r="F1072" s="28" t="n">
        <v>685</v>
      </c>
      <c r="G1072" s="29" t="n">
        <v>4350</v>
      </c>
      <c r="H1072" s="29" t="n">
        <f aca="false">F1072*G1072</f>
        <v>2979750</v>
      </c>
    </row>
    <row r="1073" customFormat="false" ht="15" hidden="false" customHeight="false" outlineLevel="0" collapsed="false">
      <c r="A1073" s="27" t="n">
        <v>2024</v>
      </c>
      <c r="B1073" s="27" t="n">
        <v>11</v>
      </c>
      <c r="C1073" s="27" t="s">
        <v>44</v>
      </c>
      <c r="D1073" s="27" t="s">
        <v>26</v>
      </c>
      <c r="E1073" s="27" t="s">
        <v>52</v>
      </c>
      <c r="F1073" s="28" t="n">
        <v>488</v>
      </c>
      <c r="G1073" s="29" t="n">
        <v>4390</v>
      </c>
      <c r="H1073" s="29" t="n">
        <f aca="false">F1073*G1073</f>
        <v>2142320</v>
      </c>
    </row>
    <row r="1074" customFormat="false" ht="15" hidden="false" customHeight="false" outlineLevel="0" collapsed="false">
      <c r="A1074" s="27" t="n">
        <v>2024</v>
      </c>
      <c r="B1074" s="27" t="n">
        <v>11</v>
      </c>
      <c r="C1074" s="27" t="s">
        <v>44</v>
      </c>
      <c r="D1074" s="27" t="s">
        <v>26</v>
      </c>
      <c r="E1074" s="27" t="s">
        <v>54</v>
      </c>
      <c r="F1074" s="28" t="n">
        <v>332</v>
      </c>
      <c r="G1074" s="29" t="n">
        <v>4340</v>
      </c>
      <c r="H1074" s="29" t="n">
        <f aca="false">F1074*G1074</f>
        <v>1440880</v>
      </c>
    </row>
    <row r="1075" customFormat="false" ht="15" hidden="false" customHeight="false" outlineLevel="0" collapsed="false">
      <c r="A1075" s="27" t="n">
        <v>2024</v>
      </c>
      <c r="B1075" s="27" t="n">
        <v>11</v>
      </c>
      <c r="C1075" s="27" t="s">
        <v>44</v>
      </c>
      <c r="D1075" s="27" t="s">
        <v>26</v>
      </c>
      <c r="E1075" s="27" t="s">
        <v>56</v>
      </c>
      <c r="F1075" s="28" t="n">
        <v>389</v>
      </c>
      <c r="G1075" s="29" t="n">
        <v>4410</v>
      </c>
      <c r="H1075" s="29" t="n">
        <f aca="false">F1075*G1075</f>
        <v>1715490</v>
      </c>
    </row>
    <row r="1076" customFormat="false" ht="15" hidden="false" customHeight="false" outlineLevel="0" collapsed="false">
      <c r="A1076" s="27" t="n">
        <v>2024</v>
      </c>
      <c r="B1076" s="27" t="n">
        <v>11</v>
      </c>
      <c r="C1076" s="27" t="s">
        <v>44</v>
      </c>
      <c r="D1076" s="27" t="s">
        <v>26</v>
      </c>
      <c r="E1076" s="27" t="s">
        <v>58</v>
      </c>
      <c r="F1076" s="28" t="n">
        <v>274</v>
      </c>
      <c r="G1076" s="29" t="n">
        <v>4370</v>
      </c>
      <c r="H1076" s="29" t="n">
        <f aca="false">F1076*G1076</f>
        <v>1197380</v>
      </c>
    </row>
    <row r="1077" customFormat="false" ht="15" hidden="false" customHeight="false" outlineLevel="0" collapsed="false">
      <c r="A1077" s="27" t="n">
        <v>2024</v>
      </c>
      <c r="B1077" s="27" t="n">
        <v>11</v>
      </c>
      <c r="C1077" s="27" t="s">
        <v>44</v>
      </c>
      <c r="D1077" s="27" t="s">
        <v>28</v>
      </c>
      <c r="E1077" s="27" t="s">
        <v>50</v>
      </c>
      <c r="F1077" s="28" t="n">
        <v>264</v>
      </c>
      <c r="G1077" s="29" t="n">
        <v>4120</v>
      </c>
      <c r="H1077" s="29" t="n">
        <f aca="false">F1077*G1077</f>
        <v>1087680</v>
      </c>
    </row>
    <row r="1078" customFormat="false" ht="15" hidden="false" customHeight="false" outlineLevel="0" collapsed="false">
      <c r="A1078" s="27" t="n">
        <v>2024</v>
      </c>
      <c r="B1078" s="27" t="n">
        <v>11</v>
      </c>
      <c r="C1078" s="27" t="s">
        <v>44</v>
      </c>
      <c r="D1078" s="27" t="s">
        <v>28</v>
      </c>
      <c r="E1078" s="27" t="s">
        <v>52</v>
      </c>
      <c r="F1078" s="28" t="n">
        <v>158</v>
      </c>
      <c r="G1078" s="29" t="n">
        <v>4050</v>
      </c>
      <c r="H1078" s="29" t="n">
        <f aca="false">F1078*G1078</f>
        <v>639900</v>
      </c>
    </row>
    <row r="1079" customFormat="false" ht="15" hidden="false" customHeight="false" outlineLevel="0" collapsed="false">
      <c r="A1079" s="27" t="n">
        <v>2024</v>
      </c>
      <c r="B1079" s="27" t="n">
        <v>11</v>
      </c>
      <c r="C1079" s="27" t="s">
        <v>44</v>
      </c>
      <c r="D1079" s="27" t="s">
        <v>28</v>
      </c>
      <c r="E1079" s="27" t="s">
        <v>54</v>
      </c>
      <c r="F1079" s="28" t="n">
        <v>134</v>
      </c>
      <c r="G1079" s="29" t="n">
        <v>4120</v>
      </c>
      <c r="H1079" s="29" t="n">
        <f aca="false">F1079*G1079</f>
        <v>552080</v>
      </c>
    </row>
    <row r="1080" customFormat="false" ht="15" hidden="false" customHeight="false" outlineLevel="0" collapsed="false">
      <c r="A1080" s="27" t="n">
        <v>2024</v>
      </c>
      <c r="B1080" s="27" t="n">
        <v>11</v>
      </c>
      <c r="C1080" s="27" t="s">
        <v>44</v>
      </c>
      <c r="D1080" s="27" t="s">
        <v>28</v>
      </c>
      <c r="E1080" s="27" t="s">
        <v>56</v>
      </c>
      <c r="F1080" s="28" t="n">
        <v>160</v>
      </c>
      <c r="G1080" s="29" t="n">
        <v>4060</v>
      </c>
      <c r="H1080" s="29" t="n">
        <f aca="false">F1080*G1080</f>
        <v>649600</v>
      </c>
    </row>
    <row r="1081" customFormat="false" ht="15" hidden="false" customHeight="false" outlineLevel="0" collapsed="false">
      <c r="A1081" s="27" t="n">
        <v>2024</v>
      </c>
      <c r="B1081" s="27" t="n">
        <v>11</v>
      </c>
      <c r="C1081" s="27" t="s">
        <v>44</v>
      </c>
      <c r="D1081" s="27" t="s">
        <v>28</v>
      </c>
      <c r="E1081" s="27" t="s">
        <v>58</v>
      </c>
      <c r="F1081" s="28" t="n">
        <v>111</v>
      </c>
      <c r="G1081" s="29" t="n">
        <v>4060</v>
      </c>
      <c r="H1081" s="29" t="n">
        <f aca="false">F1081*G1081</f>
        <v>450660</v>
      </c>
    </row>
    <row r="1082" customFormat="false" ht="15" hidden="false" customHeight="false" outlineLevel="0" collapsed="false">
      <c r="A1082" s="27" t="n">
        <v>2024</v>
      </c>
      <c r="B1082" s="27" t="n">
        <v>11</v>
      </c>
      <c r="C1082" s="27" t="s">
        <v>45</v>
      </c>
      <c r="D1082" s="27" t="s">
        <v>22</v>
      </c>
      <c r="E1082" s="27" t="s">
        <v>50</v>
      </c>
      <c r="F1082" s="28" t="n">
        <v>3436</v>
      </c>
      <c r="G1082" s="29" t="n">
        <v>2380</v>
      </c>
      <c r="H1082" s="29" t="n">
        <f aca="false">F1082*G1082</f>
        <v>8177680</v>
      </c>
    </row>
    <row r="1083" customFormat="false" ht="15" hidden="false" customHeight="false" outlineLevel="0" collapsed="false">
      <c r="A1083" s="27" t="n">
        <v>2024</v>
      </c>
      <c r="B1083" s="27" t="n">
        <v>11</v>
      </c>
      <c r="C1083" s="27" t="s">
        <v>45</v>
      </c>
      <c r="D1083" s="27" t="s">
        <v>22</v>
      </c>
      <c r="E1083" s="27" t="s">
        <v>52</v>
      </c>
      <c r="F1083" s="28" t="n">
        <v>2348</v>
      </c>
      <c r="G1083" s="29" t="n">
        <v>2420</v>
      </c>
      <c r="H1083" s="29" t="n">
        <f aca="false">F1083*G1083</f>
        <v>5682160</v>
      </c>
    </row>
    <row r="1084" customFormat="false" ht="15" hidden="false" customHeight="false" outlineLevel="0" collapsed="false">
      <c r="A1084" s="27" t="n">
        <v>2024</v>
      </c>
      <c r="B1084" s="27" t="n">
        <v>11</v>
      </c>
      <c r="C1084" s="27" t="s">
        <v>45</v>
      </c>
      <c r="D1084" s="27" t="s">
        <v>22</v>
      </c>
      <c r="E1084" s="27" t="s">
        <v>54</v>
      </c>
      <c r="F1084" s="28" t="n">
        <v>1817</v>
      </c>
      <c r="G1084" s="29" t="n">
        <v>2430</v>
      </c>
      <c r="H1084" s="29" t="n">
        <f aca="false">F1084*G1084</f>
        <v>4415310</v>
      </c>
    </row>
    <row r="1085" customFormat="false" ht="15" hidden="false" customHeight="false" outlineLevel="0" collapsed="false">
      <c r="A1085" s="27" t="n">
        <v>2024</v>
      </c>
      <c r="B1085" s="27" t="n">
        <v>11</v>
      </c>
      <c r="C1085" s="27" t="s">
        <v>45</v>
      </c>
      <c r="D1085" s="27" t="s">
        <v>22</v>
      </c>
      <c r="E1085" s="27" t="s">
        <v>56</v>
      </c>
      <c r="F1085" s="28" t="n">
        <v>2389</v>
      </c>
      <c r="G1085" s="29" t="n">
        <v>2360</v>
      </c>
      <c r="H1085" s="29" t="n">
        <f aca="false">F1085*G1085</f>
        <v>5638040</v>
      </c>
    </row>
    <row r="1086" customFormat="false" ht="15" hidden="false" customHeight="false" outlineLevel="0" collapsed="false">
      <c r="A1086" s="27" t="n">
        <v>2024</v>
      </c>
      <c r="B1086" s="27" t="n">
        <v>11</v>
      </c>
      <c r="C1086" s="27" t="s">
        <v>45</v>
      </c>
      <c r="D1086" s="27" t="s">
        <v>22</v>
      </c>
      <c r="E1086" s="27" t="s">
        <v>58</v>
      </c>
      <c r="F1086" s="28" t="n">
        <v>1380</v>
      </c>
      <c r="G1086" s="29" t="n">
        <v>2390</v>
      </c>
      <c r="H1086" s="29" t="n">
        <f aca="false">F1086*G1086</f>
        <v>3298200</v>
      </c>
    </row>
    <row r="1087" customFormat="false" ht="15" hidden="false" customHeight="false" outlineLevel="0" collapsed="false">
      <c r="A1087" s="27" t="n">
        <v>2024</v>
      </c>
      <c r="B1087" s="27" t="n">
        <v>11</v>
      </c>
      <c r="C1087" s="27" t="s">
        <v>45</v>
      </c>
      <c r="D1087" s="27" t="s">
        <v>24</v>
      </c>
      <c r="E1087" s="27" t="s">
        <v>50</v>
      </c>
      <c r="F1087" s="28" t="n">
        <v>1824</v>
      </c>
      <c r="G1087" s="29" t="n">
        <v>2210</v>
      </c>
      <c r="H1087" s="29" t="n">
        <f aca="false">F1087*G1087</f>
        <v>4031040</v>
      </c>
    </row>
    <row r="1088" customFormat="false" ht="15" hidden="false" customHeight="false" outlineLevel="0" collapsed="false">
      <c r="A1088" s="27" t="n">
        <v>2024</v>
      </c>
      <c r="B1088" s="27" t="n">
        <v>11</v>
      </c>
      <c r="C1088" s="27" t="s">
        <v>45</v>
      </c>
      <c r="D1088" s="27" t="s">
        <v>24</v>
      </c>
      <c r="E1088" s="27" t="s">
        <v>52</v>
      </c>
      <c r="F1088" s="28" t="n">
        <v>1173</v>
      </c>
      <c r="G1088" s="29" t="n">
        <v>2200</v>
      </c>
      <c r="H1088" s="29" t="n">
        <f aca="false">F1088*G1088</f>
        <v>2580600</v>
      </c>
    </row>
    <row r="1089" customFormat="false" ht="15" hidden="false" customHeight="false" outlineLevel="0" collapsed="false">
      <c r="A1089" s="27" t="n">
        <v>2024</v>
      </c>
      <c r="B1089" s="27" t="n">
        <v>11</v>
      </c>
      <c r="C1089" s="27" t="s">
        <v>45</v>
      </c>
      <c r="D1089" s="27" t="s">
        <v>24</v>
      </c>
      <c r="E1089" s="27" t="s">
        <v>54</v>
      </c>
      <c r="F1089" s="28" t="n">
        <v>968</v>
      </c>
      <c r="G1089" s="29" t="n">
        <v>2230</v>
      </c>
      <c r="H1089" s="29" t="n">
        <f aca="false">F1089*G1089</f>
        <v>2158640</v>
      </c>
    </row>
    <row r="1090" customFormat="false" ht="15" hidden="false" customHeight="false" outlineLevel="0" collapsed="false">
      <c r="A1090" s="27" t="n">
        <v>2024</v>
      </c>
      <c r="B1090" s="27" t="n">
        <v>11</v>
      </c>
      <c r="C1090" s="27" t="s">
        <v>45</v>
      </c>
      <c r="D1090" s="27" t="s">
        <v>24</v>
      </c>
      <c r="E1090" s="27" t="s">
        <v>56</v>
      </c>
      <c r="F1090" s="28" t="n">
        <v>1158</v>
      </c>
      <c r="G1090" s="29" t="n">
        <v>2240</v>
      </c>
      <c r="H1090" s="29" t="n">
        <f aca="false">F1090*G1090</f>
        <v>2593920</v>
      </c>
    </row>
    <row r="1091" customFormat="false" ht="15" hidden="false" customHeight="false" outlineLevel="0" collapsed="false">
      <c r="A1091" s="27" t="n">
        <v>2024</v>
      </c>
      <c r="B1091" s="27" t="n">
        <v>11</v>
      </c>
      <c r="C1091" s="27" t="s">
        <v>45</v>
      </c>
      <c r="D1091" s="27" t="s">
        <v>24</v>
      </c>
      <c r="E1091" s="27" t="s">
        <v>58</v>
      </c>
      <c r="F1091" s="28" t="n">
        <v>797</v>
      </c>
      <c r="G1091" s="29" t="n">
        <v>2220</v>
      </c>
      <c r="H1091" s="29" t="n">
        <f aca="false">F1091*G1091</f>
        <v>1769340</v>
      </c>
    </row>
    <row r="1092" customFormat="false" ht="15" hidden="false" customHeight="false" outlineLevel="0" collapsed="false">
      <c r="A1092" s="27" t="n">
        <v>2024</v>
      </c>
      <c r="B1092" s="27" t="n">
        <v>11</v>
      </c>
      <c r="C1092" s="27" t="s">
        <v>45</v>
      </c>
      <c r="D1092" s="27" t="s">
        <v>26</v>
      </c>
      <c r="E1092" s="27" t="s">
        <v>50</v>
      </c>
      <c r="F1092" s="28" t="n">
        <v>1014</v>
      </c>
      <c r="G1092" s="29" t="n">
        <v>2690</v>
      </c>
      <c r="H1092" s="29" t="n">
        <f aca="false">F1092*G1092</f>
        <v>2727660</v>
      </c>
    </row>
    <row r="1093" customFormat="false" ht="15" hidden="false" customHeight="false" outlineLevel="0" collapsed="false">
      <c r="A1093" s="27" t="n">
        <v>2024</v>
      </c>
      <c r="B1093" s="27" t="n">
        <v>11</v>
      </c>
      <c r="C1093" s="27" t="s">
        <v>45</v>
      </c>
      <c r="D1093" s="27" t="s">
        <v>26</v>
      </c>
      <c r="E1093" s="27" t="s">
        <v>52</v>
      </c>
      <c r="F1093" s="28" t="n">
        <v>520</v>
      </c>
      <c r="G1093" s="29" t="n">
        <v>2660</v>
      </c>
      <c r="H1093" s="29" t="n">
        <f aca="false">F1093*G1093</f>
        <v>1383200</v>
      </c>
    </row>
    <row r="1094" customFormat="false" ht="15" hidden="false" customHeight="false" outlineLevel="0" collapsed="false">
      <c r="A1094" s="27" t="n">
        <v>2024</v>
      </c>
      <c r="B1094" s="27" t="n">
        <v>11</v>
      </c>
      <c r="C1094" s="27" t="s">
        <v>45</v>
      </c>
      <c r="D1094" s="27" t="s">
        <v>26</v>
      </c>
      <c r="E1094" s="27" t="s">
        <v>54</v>
      </c>
      <c r="F1094" s="28" t="n">
        <v>419</v>
      </c>
      <c r="G1094" s="29" t="n">
        <v>2690</v>
      </c>
      <c r="H1094" s="29" t="n">
        <f aca="false">F1094*G1094</f>
        <v>1127110</v>
      </c>
    </row>
    <row r="1095" customFormat="false" ht="15" hidden="false" customHeight="false" outlineLevel="0" collapsed="false">
      <c r="A1095" s="27" t="n">
        <v>2024</v>
      </c>
      <c r="B1095" s="27" t="n">
        <v>11</v>
      </c>
      <c r="C1095" s="27" t="s">
        <v>45</v>
      </c>
      <c r="D1095" s="27" t="s">
        <v>26</v>
      </c>
      <c r="E1095" s="27" t="s">
        <v>56</v>
      </c>
      <c r="F1095" s="28" t="n">
        <v>541</v>
      </c>
      <c r="G1095" s="29" t="n">
        <v>2680</v>
      </c>
      <c r="H1095" s="29" t="n">
        <f aca="false">F1095*G1095</f>
        <v>1449880</v>
      </c>
    </row>
    <row r="1096" customFormat="false" ht="15" hidden="false" customHeight="false" outlineLevel="0" collapsed="false">
      <c r="A1096" s="27" t="n">
        <v>2024</v>
      </c>
      <c r="B1096" s="27" t="n">
        <v>11</v>
      </c>
      <c r="C1096" s="27" t="s">
        <v>45</v>
      </c>
      <c r="D1096" s="27" t="s">
        <v>26</v>
      </c>
      <c r="E1096" s="27" t="s">
        <v>58</v>
      </c>
      <c r="F1096" s="28" t="n">
        <v>410</v>
      </c>
      <c r="G1096" s="29" t="n">
        <v>2700</v>
      </c>
      <c r="H1096" s="29" t="n">
        <f aca="false">F1096*G1096</f>
        <v>1107000</v>
      </c>
    </row>
    <row r="1097" customFormat="false" ht="15" hidden="false" customHeight="false" outlineLevel="0" collapsed="false">
      <c r="A1097" s="27" t="n">
        <v>2024</v>
      </c>
      <c r="B1097" s="27" t="n">
        <v>11</v>
      </c>
      <c r="C1097" s="27" t="s">
        <v>45</v>
      </c>
      <c r="D1097" s="27" t="s">
        <v>28</v>
      </c>
      <c r="E1097" s="27" t="s">
        <v>50</v>
      </c>
      <c r="F1097" s="28" t="n">
        <v>366</v>
      </c>
      <c r="G1097" s="29" t="n">
        <v>2500</v>
      </c>
      <c r="H1097" s="29" t="n">
        <f aca="false">F1097*G1097</f>
        <v>915000</v>
      </c>
    </row>
    <row r="1098" customFormat="false" ht="15" hidden="false" customHeight="false" outlineLevel="0" collapsed="false">
      <c r="A1098" s="27" t="n">
        <v>2024</v>
      </c>
      <c r="B1098" s="27" t="n">
        <v>11</v>
      </c>
      <c r="C1098" s="27" t="s">
        <v>45</v>
      </c>
      <c r="D1098" s="27" t="s">
        <v>28</v>
      </c>
      <c r="E1098" s="27" t="s">
        <v>52</v>
      </c>
      <c r="F1098" s="28" t="n">
        <v>209</v>
      </c>
      <c r="G1098" s="29" t="n">
        <v>2520</v>
      </c>
      <c r="H1098" s="29" t="n">
        <f aca="false">F1098*G1098</f>
        <v>526680</v>
      </c>
    </row>
    <row r="1099" customFormat="false" ht="15" hidden="false" customHeight="false" outlineLevel="0" collapsed="false">
      <c r="A1099" s="27" t="n">
        <v>2024</v>
      </c>
      <c r="B1099" s="27" t="n">
        <v>11</v>
      </c>
      <c r="C1099" s="27" t="s">
        <v>45</v>
      </c>
      <c r="D1099" s="27" t="s">
        <v>28</v>
      </c>
      <c r="E1099" s="27" t="s">
        <v>54</v>
      </c>
      <c r="F1099" s="28" t="n">
        <v>178</v>
      </c>
      <c r="G1099" s="29" t="n">
        <v>2470</v>
      </c>
      <c r="H1099" s="29" t="n">
        <f aca="false">F1099*G1099</f>
        <v>439660</v>
      </c>
    </row>
    <row r="1100" customFormat="false" ht="15" hidden="false" customHeight="false" outlineLevel="0" collapsed="false">
      <c r="A1100" s="27" t="n">
        <v>2024</v>
      </c>
      <c r="B1100" s="27" t="n">
        <v>11</v>
      </c>
      <c r="C1100" s="27" t="s">
        <v>45</v>
      </c>
      <c r="D1100" s="27" t="s">
        <v>28</v>
      </c>
      <c r="E1100" s="27" t="s">
        <v>56</v>
      </c>
      <c r="F1100" s="28" t="n">
        <v>208</v>
      </c>
      <c r="G1100" s="29" t="n">
        <v>2520</v>
      </c>
      <c r="H1100" s="29" t="n">
        <f aca="false">F1100*G1100</f>
        <v>524160</v>
      </c>
    </row>
    <row r="1101" customFormat="false" ht="15" hidden="false" customHeight="false" outlineLevel="0" collapsed="false">
      <c r="A1101" s="27" t="n">
        <v>2024</v>
      </c>
      <c r="B1101" s="27" t="n">
        <v>11</v>
      </c>
      <c r="C1101" s="27" t="s">
        <v>45</v>
      </c>
      <c r="D1101" s="27" t="s">
        <v>28</v>
      </c>
      <c r="E1101" s="27" t="s">
        <v>58</v>
      </c>
      <c r="F1101" s="28" t="n">
        <v>142</v>
      </c>
      <c r="G1101" s="29" t="n">
        <v>2500</v>
      </c>
      <c r="H1101" s="29" t="n">
        <f aca="false">F1101*G1101</f>
        <v>355000</v>
      </c>
    </row>
    <row r="1102" customFormat="false" ht="15" hidden="false" customHeight="false" outlineLevel="0" collapsed="false">
      <c r="A1102" s="27" t="n">
        <v>2024</v>
      </c>
      <c r="B1102" s="27" t="n">
        <v>12</v>
      </c>
      <c r="C1102" s="27" t="s">
        <v>38</v>
      </c>
      <c r="D1102" s="27" t="s">
        <v>22</v>
      </c>
      <c r="E1102" s="27" t="s">
        <v>50</v>
      </c>
      <c r="F1102" s="28" t="n">
        <v>10362</v>
      </c>
      <c r="G1102" s="29" t="n">
        <v>2600</v>
      </c>
      <c r="H1102" s="29" t="n">
        <f aca="false">F1102*G1102</f>
        <v>26941200</v>
      </c>
    </row>
    <row r="1103" customFormat="false" ht="15" hidden="false" customHeight="false" outlineLevel="0" collapsed="false">
      <c r="A1103" s="27" t="n">
        <v>2024</v>
      </c>
      <c r="B1103" s="27" t="n">
        <v>12</v>
      </c>
      <c r="C1103" s="27" t="s">
        <v>38</v>
      </c>
      <c r="D1103" s="27" t="s">
        <v>22</v>
      </c>
      <c r="E1103" s="27" t="s">
        <v>52</v>
      </c>
      <c r="F1103" s="28" t="n">
        <v>6686</v>
      </c>
      <c r="G1103" s="29" t="n">
        <v>2620</v>
      </c>
      <c r="H1103" s="29" t="n">
        <f aca="false">F1103*G1103</f>
        <v>17517320</v>
      </c>
    </row>
    <row r="1104" customFormat="false" ht="15" hidden="false" customHeight="false" outlineLevel="0" collapsed="false">
      <c r="A1104" s="27" t="n">
        <v>2024</v>
      </c>
      <c r="B1104" s="27" t="n">
        <v>12</v>
      </c>
      <c r="C1104" s="27" t="s">
        <v>38</v>
      </c>
      <c r="D1104" s="27" t="s">
        <v>22</v>
      </c>
      <c r="E1104" s="27" t="s">
        <v>54</v>
      </c>
      <c r="F1104" s="28" t="n">
        <v>5613</v>
      </c>
      <c r="G1104" s="29" t="n">
        <v>2590</v>
      </c>
      <c r="H1104" s="29" t="n">
        <f aca="false">F1104*G1104</f>
        <v>14537670</v>
      </c>
    </row>
    <row r="1105" customFormat="false" ht="15" hidden="false" customHeight="false" outlineLevel="0" collapsed="false">
      <c r="A1105" s="27" t="n">
        <v>2024</v>
      </c>
      <c r="B1105" s="27" t="n">
        <v>12</v>
      </c>
      <c r="C1105" s="27" t="s">
        <v>38</v>
      </c>
      <c r="D1105" s="27" t="s">
        <v>22</v>
      </c>
      <c r="E1105" s="27" t="s">
        <v>56</v>
      </c>
      <c r="F1105" s="28" t="n">
        <v>6179</v>
      </c>
      <c r="G1105" s="29" t="n">
        <v>2610</v>
      </c>
      <c r="H1105" s="29" t="n">
        <f aca="false">F1105*G1105</f>
        <v>16127190</v>
      </c>
    </row>
    <row r="1106" customFormat="false" ht="15" hidden="false" customHeight="false" outlineLevel="0" collapsed="false">
      <c r="A1106" s="27" t="n">
        <v>2024</v>
      </c>
      <c r="B1106" s="27" t="n">
        <v>12</v>
      </c>
      <c r="C1106" s="27" t="s">
        <v>38</v>
      </c>
      <c r="D1106" s="27" t="s">
        <v>22</v>
      </c>
      <c r="E1106" s="27" t="s">
        <v>58</v>
      </c>
      <c r="F1106" s="28" t="n">
        <v>4459</v>
      </c>
      <c r="G1106" s="29" t="n">
        <v>2590</v>
      </c>
      <c r="H1106" s="29" t="n">
        <f aca="false">F1106*G1106</f>
        <v>11548810</v>
      </c>
    </row>
    <row r="1107" customFormat="false" ht="15" hidden="false" customHeight="false" outlineLevel="0" collapsed="false">
      <c r="A1107" s="27" t="n">
        <v>2024</v>
      </c>
      <c r="B1107" s="27" t="n">
        <v>12</v>
      </c>
      <c r="C1107" s="27" t="s">
        <v>38</v>
      </c>
      <c r="D1107" s="27" t="s">
        <v>24</v>
      </c>
      <c r="E1107" s="27" t="s">
        <v>50</v>
      </c>
      <c r="F1107" s="28" t="n">
        <v>5978</v>
      </c>
      <c r="G1107" s="29" t="n">
        <v>2440</v>
      </c>
      <c r="H1107" s="29" t="n">
        <f aca="false">F1107*G1107</f>
        <v>14586320</v>
      </c>
    </row>
    <row r="1108" customFormat="false" ht="15" hidden="false" customHeight="false" outlineLevel="0" collapsed="false">
      <c r="A1108" s="27" t="n">
        <v>2024</v>
      </c>
      <c r="B1108" s="27" t="n">
        <v>12</v>
      </c>
      <c r="C1108" s="27" t="s">
        <v>38</v>
      </c>
      <c r="D1108" s="27" t="s">
        <v>24</v>
      </c>
      <c r="E1108" s="27" t="s">
        <v>52</v>
      </c>
      <c r="F1108" s="28" t="n">
        <v>3826</v>
      </c>
      <c r="G1108" s="29" t="n">
        <v>2460</v>
      </c>
      <c r="H1108" s="29" t="n">
        <f aca="false">F1108*G1108</f>
        <v>9411960</v>
      </c>
    </row>
    <row r="1109" customFormat="false" ht="15" hidden="false" customHeight="false" outlineLevel="0" collapsed="false">
      <c r="A1109" s="27" t="n">
        <v>2024</v>
      </c>
      <c r="B1109" s="27" t="n">
        <v>12</v>
      </c>
      <c r="C1109" s="27" t="s">
        <v>38</v>
      </c>
      <c r="D1109" s="27" t="s">
        <v>24</v>
      </c>
      <c r="E1109" s="27" t="s">
        <v>54</v>
      </c>
      <c r="F1109" s="28" t="n">
        <v>2751</v>
      </c>
      <c r="G1109" s="29" t="n">
        <v>2420</v>
      </c>
      <c r="H1109" s="29" t="n">
        <f aca="false">F1109*G1109</f>
        <v>6657420</v>
      </c>
    </row>
    <row r="1110" customFormat="false" ht="15" hidden="false" customHeight="false" outlineLevel="0" collapsed="false">
      <c r="A1110" s="27" t="n">
        <v>2024</v>
      </c>
      <c r="B1110" s="27" t="n">
        <v>12</v>
      </c>
      <c r="C1110" s="27" t="s">
        <v>38</v>
      </c>
      <c r="D1110" s="27" t="s">
        <v>24</v>
      </c>
      <c r="E1110" s="27" t="s">
        <v>56</v>
      </c>
      <c r="F1110" s="28" t="n">
        <v>3416</v>
      </c>
      <c r="G1110" s="29" t="n">
        <v>2420</v>
      </c>
      <c r="H1110" s="29" t="n">
        <f aca="false">F1110*G1110</f>
        <v>8266720</v>
      </c>
    </row>
    <row r="1111" customFormat="false" ht="15" hidden="false" customHeight="false" outlineLevel="0" collapsed="false">
      <c r="A1111" s="27" t="n">
        <v>2024</v>
      </c>
      <c r="B1111" s="27" t="n">
        <v>12</v>
      </c>
      <c r="C1111" s="27" t="s">
        <v>38</v>
      </c>
      <c r="D1111" s="27" t="s">
        <v>24</v>
      </c>
      <c r="E1111" s="27" t="s">
        <v>58</v>
      </c>
      <c r="F1111" s="28" t="n">
        <v>2260</v>
      </c>
      <c r="G1111" s="29" t="n">
        <v>2380</v>
      </c>
      <c r="H1111" s="29" t="n">
        <f aca="false">F1111*G1111</f>
        <v>5378800</v>
      </c>
    </row>
    <row r="1112" customFormat="false" ht="15" hidden="false" customHeight="false" outlineLevel="0" collapsed="false">
      <c r="A1112" s="27" t="n">
        <v>2024</v>
      </c>
      <c r="B1112" s="27" t="n">
        <v>12</v>
      </c>
      <c r="C1112" s="27" t="s">
        <v>38</v>
      </c>
      <c r="D1112" s="27" t="s">
        <v>26</v>
      </c>
      <c r="E1112" s="27" t="s">
        <v>50</v>
      </c>
      <c r="F1112" s="28" t="n">
        <v>2782</v>
      </c>
      <c r="G1112" s="29" t="n">
        <v>2890</v>
      </c>
      <c r="H1112" s="29" t="n">
        <f aca="false">F1112*G1112</f>
        <v>8039980</v>
      </c>
    </row>
    <row r="1113" customFormat="false" ht="15" hidden="false" customHeight="false" outlineLevel="0" collapsed="false">
      <c r="A1113" s="27" t="n">
        <v>2024</v>
      </c>
      <c r="B1113" s="27" t="n">
        <v>12</v>
      </c>
      <c r="C1113" s="27" t="s">
        <v>38</v>
      </c>
      <c r="D1113" s="27" t="s">
        <v>26</v>
      </c>
      <c r="E1113" s="27" t="s">
        <v>52</v>
      </c>
      <c r="F1113" s="28" t="n">
        <v>1738</v>
      </c>
      <c r="G1113" s="29" t="n">
        <v>2890</v>
      </c>
      <c r="H1113" s="29" t="n">
        <f aca="false">F1113*G1113</f>
        <v>5022820</v>
      </c>
    </row>
    <row r="1114" customFormat="false" ht="15" hidden="false" customHeight="false" outlineLevel="0" collapsed="false">
      <c r="A1114" s="27" t="n">
        <v>2024</v>
      </c>
      <c r="B1114" s="27" t="n">
        <v>12</v>
      </c>
      <c r="C1114" s="27" t="s">
        <v>38</v>
      </c>
      <c r="D1114" s="27" t="s">
        <v>26</v>
      </c>
      <c r="E1114" s="27" t="s">
        <v>54</v>
      </c>
      <c r="F1114" s="28" t="n">
        <v>1308</v>
      </c>
      <c r="G1114" s="29" t="n">
        <v>2920</v>
      </c>
      <c r="H1114" s="29" t="n">
        <f aca="false">F1114*G1114</f>
        <v>3819360</v>
      </c>
    </row>
    <row r="1115" customFormat="false" ht="15" hidden="false" customHeight="false" outlineLevel="0" collapsed="false">
      <c r="A1115" s="27" t="n">
        <v>2024</v>
      </c>
      <c r="B1115" s="27" t="n">
        <v>12</v>
      </c>
      <c r="C1115" s="27" t="s">
        <v>38</v>
      </c>
      <c r="D1115" s="27" t="s">
        <v>26</v>
      </c>
      <c r="E1115" s="27" t="s">
        <v>56</v>
      </c>
      <c r="F1115" s="28" t="n">
        <v>1656</v>
      </c>
      <c r="G1115" s="29" t="n">
        <v>2930</v>
      </c>
      <c r="H1115" s="29" t="n">
        <f aca="false">F1115*G1115</f>
        <v>4852080</v>
      </c>
    </row>
    <row r="1116" customFormat="false" ht="15" hidden="false" customHeight="false" outlineLevel="0" collapsed="false">
      <c r="A1116" s="27" t="n">
        <v>2024</v>
      </c>
      <c r="B1116" s="27" t="n">
        <v>12</v>
      </c>
      <c r="C1116" s="27" t="s">
        <v>38</v>
      </c>
      <c r="D1116" s="27" t="s">
        <v>26</v>
      </c>
      <c r="E1116" s="27" t="s">
        <v>58</v>
      </c>
      <c r="F1116" s="28" t="n">
        <v>1248</v>
      </c>
      <c r="G1116" s="29" t="n">
        <v>2920</v>
      </c>
      <c r="H1116" s="29" t="n">
        <f aca="false">F1116*G1116</f>
        <v>3644160</v>
      </c>
    </row>
    <row r="1117" customFormat="false" ht="15" hidden="false" customHeight="false" outlineLevel="0" collapsed="false">
      <c r="A1117" s="27" t="n">
        <v>2024</v>
      </c>
      <c r="B1117" s="27" t="n">
        <v>12</v>
      </c>
      <c r="C1117" s="27" t="s">
        <v>38</v>
      </c>
      <c r="D1117" s="27" t="s">
        <v>28</v>
      </c>
      <c r="E1117" s="27" t="s">
        <v>50</v>
      </c>
      <c r="F1117" s="28" t="n">
        <v>1091</v>
      </c>
      <c r="G1117" s="29" t="n">
        <v>2700</v>
      </c>
      <c r="H1117" s="29" t="n">
        <f aca="false">F1117*G1117</f>
        <v>2945700</v>
      </c>
    </row>
    <row r="1118" customFormat="false" ht="15" hidden="false" customHeight="false" outlineLevel="0" collapsed="false">
      <c r="A1118" s="27" t="n">
        <v>2024</v>
      </c>
      <c r="B1118" s="27" t="n">
        <v>12</v>
      </c>
      <c r="C1118" s="27" t="s">
        <v>38</v>
      </c>
      <c r="D1118" s="27" t="s">
        <v>28</v>
      </c>
      <c r="E1118" s="27" t="s">
        <v>52</v>
      </c>
      <c r="F1118" s="28" t="n">
        <v>623</v>
      </c>
      <c r="G1118" s="29" t="n">
        <v>2770</v>
      </c>
      <c r="H1118" s="29" t="n">
        <f aca="false">F1118*G1118</f>
        <v>1725710</v>
      </c>
    </row>
    <row r="1119" customFormat="false" ht="15" hidden="false" customHeight="false" outlineLevel="0" collapsed="false">
      <c r="A1119" s="27" t="n">
        <v>2024</v>
      </c>
      <c r="B1119" s="27" t="n">
        <v>12</v>
      </c>
      <c r="C1119" s="27" t="s">
        <v>38</v>
      </c>
      <c r="D1119" s="27" t="s">
        <v>28</v>
      </c>
      <c r="E1119" s="27" t="s">
        <v>54</v>
      </c>
      <c r="F1119" s="28" t="n">
        <v>508</v>
      </c>
      <c r="G1119" s="29" t="n">
        <v>2700</v>
      </c>
      <c r="H1119" s="29" t="n">
        <f aca="false">F1119*G1119</f>
        <v>1371600</v>
      </c>
    </row>
    <row r="1120" customFormat="false" ht="15" hidden="false" customHeight="false" outlineLevel="0" collapsed="false">
      <c r="A1120" s="27" t="n">
        <v>2024</v>
      </c>
      <c r="B1120" s="27" t="n">
        <v>12</v>
      </c>
      <c r="C1120" s="27" t="s">
        <v>38</v>
      </c>
      <c r="D1120" s="27" t="s">
        <v>28</v>
      </c>
      <c r="E1120" s="27" t="s">
        <v>56</v>
      </c>
      <c r="F1120" s="28" t="n">
        <v>631</v>
      </c>
      <c r="G1120" s="29" t="n">
        <v>2730</v>
      </c>
      <c r="H1120" s="29" t="n">
        <f aca="false">F1120*G1120</f>
        <v>1722630</v>
      </c>
    </row>
    <row r="1121" customFormat="false" ht="15" hidden="false" customHeight="false" outlineLevel="0" collapsed="false">
      <c r="A1121" s="27" t="n">
        <v>2024</v>
      </c>
      <c r="B1121" s="27" t="n">
        <v>12</v>
      </c>
      <c r="C1121" s="27" t="s">
        <v>38</v>
      </c>
      <c r="D1121" s="27" t="s">
        <v>28</v>
      </c>
      <c r="E1121" s="27" t="s">
        <v>58</v>
      </c>
      <c r="F1121" s="28" t="n">
        <v>413</v>
      </c>
      <c r="G1121" s="29" t="n">
        <v>2720</v>
      </c>
      <c r="H1121" s="29" t="n">
        <f aca="false">F1121*G1121</f>
        <v>1123360</v>
      </c>
    </row>
    <row r="1122" customFormat="false" ht="15" hidden="false" customHeight="false" outlineLevel="0" collapsed="false">
      <c r="A1122" s="27" t="n">
        <v>2024</v>
      </c>
      <c r="B1122" s="27" t="n">
        <v>12</v>
      </c>
      <c r="C1122" s="27" t="s">
        <v>40</v>
      </c>
      <c r="D1122" s="27" t="s">
        <v>22</v>
      </c>
      <c r="E1122" s="27" t="s">
        <v>50</v>
      </c>
      <c r="F1122" s="28" t="n">
        <v>7009</v>
      </c>
      <c r="G1122" s="29" t="n">
        <v>2280</v>
      </c>
      <c r="H1122" s="29" t="n">
        <f aca="false">F1122*G1122</f>
        <v>15980520</v>
      </c>
    </row>
    <row r="1123" customFormat="false" ht="15" hidden="false" customHeight="false" outlineLevel="0" collapsed="false">
      <c r="A1123" s="27" t="n">
        <v>2024</v>
      </c>
      <c r="B1123" s="27" t="n">
        <v>12</v>
      </c>
      <c r="C1123" s="27" t="s">
        <v>40</v>
      </c>
      <c r="D1123" s="27" t="s">
        <v>22</v>
      </c>
      <c r="E1123" s="27" t="s">
        <v>52</v>
      </c>
      <c r="F1123" s="28" t="n">
        <v>3839</v>
      </c>
      <c r="G1123" s="29" t="n">
        <v>2320</v>
      </c>
      <c r="H1123" s="29" t="n">
        <f aca="false">F1123*G1123</f>
        <v>8906480</v>
      </c>
    </row>
    <row r="1124" customFormat="false" ht="15" hidden="false" customHeight="false" outlineLevel="0" collapsed="false">
      <c r="A1124" s="27" t="n">
        <v>2024</v>
      </c>
      <c r="B1124" s="27" t="n">
        <v>12</v>
      </c>
      <c r="C1124" s="27" t="s">
        <v>40</v>
      </c>
      <c r="D1124" s="27" t="s">
        <v>22</v>
      </c>
      <c r="E1124" s="27" t="s">
        <v>54</v>
      </c>
      <c r="F1124" s="28" t="n">
        <v>3383</v>
      </c>
      <c r="G1124" s="29" t="n">
        <v>2290</v>
      </c>
      <c r="H1124" s="29" t="n">
        <f aca="false">F1124*G1124</f>
        <v>7747070</v>
      </c>
    </row>
    <row r="1125" customFormat="false" ht="15" hidden="false" customHeight="false" outlineLevel="0" collapsed="false">
      <c r="A1125" s="27" t="n">
        <v>2024</v>
      </c>
      <c r="B1125" s="27" t="n">
        <v>12</v>
      </c>
      <c r="C1125" s="27" t="s">
        <v>40</v>
      </c>
      <c r="D1125" s="27" t="s">
        <v>22</v>
      </c>
      <c r="E1125" s="27" t="s">
        <v>56</v>
      </c>
      <c r="F1125" s="28" t="n">
        <v>3610</v>
      </c>
      <c r="G1125" s="29" t="n">
        <v>2280</v>
      </c>
      <c r="H1125" s="29" t="n">
        <f aca="false">F1125*G1125</f>
        <v>8230800</v>
      </c>
    </row>
    <row r="1126" customFormat="false" ht="15" hidden="false" customHeight="false" outlineLevel="0" collapsed="false">
      <c r="A1126" s="27" t="n">
        <v>2024</v>
      </c>
      <c r="B1126" s="27" t="n">
        <v>12</v>
      </c>
      <c r="C1126" s="27" t="s">
        <v>40</v>
      </c>
      <c r="D1126" s="27" t="s">
        <v>22</v>
      </c>
      <c r="E1126" s="27" t="s">
        <v>58</v>
      </c>
      <c r="F1126" s="28" t="n">
        <v>2675</v>
      </c>
      <c r="G1126" s="29" t="n">
        <v>2330</v>
      </c>
      <c r="H1126" s="29" t="n">
        <f aca="false">F1126*G1126</f>
        <v>6232750</v>
      </c>
    </row>
    <row r="1127" customFormat="false" ht="15" hidden="false" customHeight="false" outlineLevel="0" collapsed="false">
      <c r="A1127" s="27" t="n">
        <v>2024</v>
      </c>
      <c r="B1127" s="27" t="n">
        <v>12</v>
      </c>
      <c r="C1127" s="27" t="s">
        <v>40</v>
      </c>
      <c r="D1127" s="27" t="s">
        <v>24</v>
      </c>
      <c r="E1127" s="27" t="s">
        <v>50</v>
      </c>
      <c r="F1127" s="28" t="n">
        <v>3381</v>
      </c>
      <c r="G1127" s="29" t="n">
        <v>2140</v>
      </c>
      <c r="H1127" s="29" t="n">
        <f aca="false">F1127*G1127</f>
        <v>7235340</v>
      </c>
    </row>
    <row r="1128" customFormat="false" ht="15" hidden="false" customHeight="false" outlineLevel="0" collapsed="false">
      <c r="A1128" s="27" t="n">
        <v>2024</v>
      </c>
      <c r="B1128" s="27" t="n">
        <v>12</v>
      </c>
      <c r="C1128" s="27" t="s">
        <v>40</v>
      </c>
      <c r="D1128" s="27" t="s">
        <v>24</v>
      </c>
      <c r="E1128" s="27" t="s">
        <v>52</v>
      </c>
      <c r="F1128" s="28" t="n">
        <v>2304</v>
      </c>
      <c r="G1128" s="29" t="n">
        <v>2090</v>
      </c>
      <c r="H1128" s="29" t="n">
        <f aca="false">F1128*G1128</f>
        <v>4815360</v>
      </c>
    </row>
    <row r="1129" customFormat="false" ht="15" hidden="false" customHeight="false" outlineLevel="0" collapsed="false">
      <c r="A1129" s="27" t="n">
        <v>2024</v>
      </c>
      <c r="B1129" s="27" t="n">
        <v>12</v>
      </c>
      <c r="C1129" s="27" t="s">
        <v>40</v>
      </c>
      <c r="D1129" s="27" t="s">
        <v>24</v>
      </c>
      <c r="E1129" s="27" t="s">
        <v>54</v>
      </c>
      <c r="F1129" s="28" t="n">
        <v>1875</v>
      </c>
      <c r="G1129" s="29" t="n">
        <v>2110</v>
      </c>
      <c r="H1129" s="29" t="n">
        <f aca="false">F1129*G1129</f>
        <v>3956250</v>
      </c>
    </row>
    <row r="1130" customFormat="false" ht="15" hidden="false" customHeight="false" outlineLevel="0" collapsed="false">
      <c r="A1130" s="27" t="n">
        <v>2024</v>
      </c>
      <c r="B1130" s="27" t="n">
        <v>12</v>
      </c>
      <c r="C1130" s="27" t="s">
        <v>40</v>
      </c>
      <c r="D1130" s="27" t="s">
        <v>24</v>
      </c>
      <c r="E1130" s="27" t="s">
        <v>56</v>
      </c>
      <c r="F1130" s="28" t="n">
        <v>2152</v>
      </c>
      <c r="G1130" s="29" t="n">
        <v>2140</v>
      </c>
      <c r="H1130" s="29" t="n">
        <f aca="false">F1130*G1130</f>
        <v>4605280</v>
      </c>
    </row>
    <row r="1131" customFormat="false" ht="15" hidden="false" customHeight="false" outlineLevel="0" collapsed="false">
      <c r="A1131" s="27" t="n">
        <v>2024</v>
      </c>
      <c r="B1131" s="27" t="n">
        <v>12</v>
      </c>
      <c r="C1131" s="27" t="s">
        <v>40</v>
      </c>
      <c r="D1131" s="27" t="s">
        <v>24</v>
      </c>
      <c r="E1131" s="27" t="s">
        <v>58</v>
      </c>
      <c r="F1131" s="28" t="n">
        <v>1527</v>
      </c>
      <c r="G1131" s="29" t="n">
        <v>2150</v>
      </c>
      <c r="H1131" s="29" t="n">
        <f aca="false">F1131*G1131</f>
        <v>3283050</v>
      </c>
    </row>
    <row r="1132" customFormat="false" ht="15" hidden="false" customHeight="false" outlineLevel="0" collapsed="false">
      <c r="A1132" s="27" t="n">
        <v>2024</v>
      </c>
      <c r="B1132" s="27" t="n">
        <v>12</v>
      </c>
      <c r="C1132" s="27" t="s">
        <v>40</v>
      </c>
      <c r="D1132" s="27" t="s">
        <v>26</v>
      </c>
      <c r="E1132" s="27" t="s">
        <v>50</v>
      </c>
      <c r="F1132" s="28" t="n">
        <v>1513</v>
      </c>
      <c r="G1132" s="29" t="n">
        <v>2560</v>
      </c>
      <c r="H1132" s="29" t="n">
        <f aca="false">F1132*G1132</f>
        <v>3873280</v>
      </c>
    </row>
    <row r="1133" customFormat="false" ht="15" hidden="false" customHeight="false" outlineLevel="0" collapsed="false">
      <c r="A1133" s="27" t="n">
        <v>2024</v>
      </c>
      <c r="B1133" s="27" t="n">
        <v>12</v>
      </c>
      <c r="C1133" s="27" t="s">
        <v>40</v>
      </c>
      <c r="D1133" s="27" t="s">
        <v>26</v>
      </c>
      <c r="E1133" s="27" t="s">
        <v>52</v>
      </c>
      <c r="F1133" s="28" t="n">
        <v>1080</v>
      </c>
      <c r="G1133" s="29" t="n">
        <v>2570</v>
      </c>
      <c r="H1133" s="29" t="n">
        <f aca="false">F1133*G1133</f>
        <v>2775600</v>
      </c>
    </row>
    <row r="1134" customFormat="false" ht="15" hidden="false" customHeight="false" outlineLevel="0" collapsed="false">
      <c r="A1134" s="27" t="n">
        <v>2024</v>
      </c>
      <c r="B1134" s="27" t="n">
        <v>12</v>
      </c>
      <c r="C1134" s="27" t="s">
        <v>40</v>
      </c>
      <c r="D1134" s="27" t="s">
        <v>26</v>
      </c>
      <c r="E1134" s="27" t="s">
        <v>54</v>
      </c>
      <c r="F1134" s="28" t="n">
        <v>879</v>
      </c>
      <c r="G1134" s="29" t="n">
        <v>2600</v>
      </c>
      <c r="H1134" s="29" t="n">
        <f aca="false">F1134*G1134</f>
        <v>2285400</v>
      </c>
    </row>
    <row r="1135" customFormat="false" ht="15" hidden="false" customHeight="false" outlineLevel="0" collapsed="false">
      <c r="A1135" s="27" t="n">
        <v>2024</v>
      </c>
      <c r="B1135" s="27" t="n">
        <v>12</v>
      </c>
      <c r="C1135" s="27" t="s">
        <v>40</v>
      </c>
      <c r="D1135" s="27" t="s">
        <v>26</v>
      </c>
      <c r="E1135" s="27" t="s">
        <v>56</v>
      </c>
      <c r="F1135" s="28" t="n">
        <v>1050</v>
      </c>
      <c r="G1135" s="29" t="n">
        <v>2570</v>
      </c>
      <c r="H1135" s="29" t="n">
        <f aca="false">F1135*G1135</f>
        <v>2698500</v>
      </c>
    </row>
    <row r="1136" customFormat="false" ht="15" hidden="false" customHeight="false" outlineLevel="0" collapsed="false">
      <c r="A1136" s="27" t="n">
        <v>2024</v>
      </c>
      <c r="B1136" s="27" t="n">
        <v>12</v>
      </c>
      <c r="C1136" s="27" t="s">
        <v>40</v>
      </c>
      <c r="D1136" s="27" t="s">
        <v>26</v>
      </c>
      <c r="E1136" s="27" t="s">
        <v>58</v>
      </c>
      <c r="F1136" s="28" t="n">
        <v>633</v>
      </c>
      <c r="G1136" s="29" t="n">
        <v>2560</v>
      </c>
      <c r="H1136" s="29" t="n">
        <f aca="false">F1136*G1136</f>
        <v>1620480</v>
      </c>
    </row>
    <row r="1137" customFormat="false" ht="15" hidden="false" customHeight="false" outlineLevel="0" collapsed="false">
      <c r="A1137" s="27" t="n">
        <v>2024</v>
      </c>
      <c r="B1137" s="27" t="n">
        <v>12</v>
      </c>
      <c r="C1137" s="27" t="s">
        <v>40</v>
      </c>
      <c r="D1137" s="27" t="s">
        <v>28</v>
      </c>
      <c r="E1137" s="27" t="s">
        <v>50</v>
      </c>
      <c r="F1137" s="28" t="n">
        <v>674</v>
      </c>
      <c r="G1137" s="29" t="n">
        <v>2390</v>
      </c>
      <c r="H1137" s="29" t="n">
        <f aca="false">F1137*G1137</f>
        <v>1610860</v>
      </c>
    </row>
    <row r="1138" customFormat="false" ht="15" hidden="false" customHeight="false" outlineLevel="0" collapsed="false">
      <c r="A1138" s="27" t="n">
        <v>2024</v>
      </c>
      <c r="B1138" s="27" t="n">
        <v>12</v>
      </c>
      <c r="C1138" s="27" t="s">
        <v>40</v>
      </c>
      <c r="D1138" s="27" t="s">
        <v>28</v>
      </c>
      <c r="E1138" s="27" t="s">
        <v>52</v>
      </c>
      <c r="F1138" s="28" t="n">
        <v>426</v>
      </c>
      <c r="G1138" s="29" t="n">
        <v>2440</v>
      </c>
      <c r="H1138" s="29" t="n">
        <f aca="false">F1138*G1138</f>
        <v>1039440</v>
      </c>
    </row>
    <row r="1139" customFormat="false" ht="15" hidden="false" customHeight="false" outlineLevel="0" collapsed="false">
      <c r="A1139" s="27" t="n">
        <v>2024</v>
      </c>
      <c r="B1139" s="27" t="n">
        <v>12</v>
      </c>
      <c r="C1139" s="27" t="s">
        <v>40</v>
      </c>
      <c r="D1139" s="27" t="s">
        <v>28</v>
      </c>
      <c r="E1139" s="27" t="s">
        <v>54</v>
      </c>
      <c r="F1139" s="28" t="n">
        <v>332</v>
      </c>
      <c r="G1139" s="29" t="n">
        <v>2340</v>
      </c>
      <c r="H1139" s="29" t="n">
        <f aca="false">F1139*G1139</f>
        <v>776880</v>
      </c>
    </row>
    <row r="1140" customFormat="false" ht="15" hidden="false" customHeight="false" outlineLevel="0" collapsed="false">
      <c r="A1140" s="27" t="n">
        <v>2024</v>
      </c>
      <c r="B1140" s="27" t="n">
        <v>12</v>
      </c>
      <c r="C1140" s="27" t="s">
        <v>40</v>
      </c>
      <c r="D1140" s="27" t="s">
        <v>28</v>
      </c>
      <c r="E1140" s="27" t="s">
        <v>56</v>
      </c>
      <c r="F1140" s="28" t="n">
        <v>367</v>
      </c>
      <c r="G1140" s="29" t="n">
        <v>2460</v>
      </c>
      <c r="H1140" s="29" t="n">
        <f aca="false">F1140*G1140</f>
        <v>902820</v>
      </c>
    </row>
    <row r="1141" customFormat="false" ht="15" hidden="false" customHeight="false" outlineLevel="0" collapsed="false">
      <c r="A1141" s="27" t="n">
        <v>2024</v>
      </c>
      <c r="B1141" s="27" t="n">
        <v>12</v>
      </c>
      <c r="C1141" s="27" t="s">
        <v>40</v>
      </c>
      <c r="D1141" s="27" t="s">
        <v>28</v>
      </c>
      <c r="E1141" s="27" t="s">
        <v>58</v>
      </c>
      <c r="F1141" s="28" t="n">
        <v>261</v>
      </c>
      <c r="G1141" s="29" t="n">
        <v>2370</v>
      </c>
      <c r="H1141" s="29" t="n">
        <f aca="false">F1141*G1141</f>
        <v>618570</v>
      </c>
    </row>
    <row r="1142" customFormat="false" ht="15" hidden="false" customHeight="false" outlineLevel="0" collapsed="false">
      <c r="A1142" s="27" t="n">
        <v>2024</v>
      </c>
      <c r="B1142" s="27" t="n">
        <v>12</v>
      </c>
      <c r="C1142" s="27" t="s">
        <v>42</v>
      </c>
      <c r="D1142" s="27" t="s">
        <v>22</v>
      </c>
      <c r="E1142" s="27" t="s">
        <v>50</v>
      </c>
      <c r="F1142" s="28" t="n">
        <v>6219</v>
      </c>
      <c r="G1142" s="29" t="n">
        <v>2100</v>
      </c>
      <c r="H1142" s="29" t="n">
        <f aca="false">F1142*G1142</f>
        <v>13059900</v>
      </c>
    </row>
    <row r="1143" customFormat="false" ht="15" hidden="false" customHeight="false" outlineLevel="0" collapsed="false">
      <c r="A1143" s="27" t="n">
        <v>2024</v>
      </c>
      <c r="B1143" s="27" t="n">
        <v>12</v>
      </c>
      <c r="C1143" s="27" t="s">
        <v>42</v>
      </c>
      <c r="D1143" s="27" t="s">
        <v>22</v>
      </c>
      <c r="E1143" s="27" t="s">
        <v>52</v>
      </c>
      <c r="F1143" s="28" t="n">
        <v>3863</v>
      </c>
      <c r="G1143" s="29" t="n">
        <v>2110</v>
      </c>
      <c r="H1143" s="29" t="n">
        <f aca="false">F1143*G1143</f>
        <v>8150930</v>
      </c>
    </row>
    <row r="1144" customFormat="false" ht="15" hidden="false" customHeight="false" outlineLevel="0" collapsed="false">
      <c r="A1144" s="27" t="n">
        <v>2024</v>
      </c>
      <c r="B1144" s="27" t="n">
        <v>12</v>
      </c>
      <c r="C1144" s="27" t="s">
        <v>42</v>
      </c>
      <c r="D1144" s="27" t="s">
        <v>22</v>
      </c>
      <c r="E1144" s="27" t="s">
        <v>54</v>
      </c>
      <c r="F1144" s="28" t="n">
        <v>2996</v>
      </c>
      <c r="G1144" s="29" t="n">
        <v>2110</v>
      </c>
      <c r="H1144" s="29" t="n">
        <f aca="false">F1144*G1144</f>
        <v>6321560</v>
      </c>
    </row>
    <row r="1145" customFormat="false" ht="15" hidden="false" customHeight="false" outlineLevel="0" collapsed="false">
      <c r="A1145" s="27" t="n">
        <v>2024</v>
      </c>
      <c r="B1145" s="27" t="n">
        <v>12</v>
      </c>
      <c r="C1145" s="27" t="s">
        <v>42</v>
      </c>
      <c r="D1145" s="27" t="s">
        <v>22</v>
      </c>
      <c r="E1145" s="27" t="s">
        <v>56</v>
      </c>
      <c r="F1145" s="28" t="n">
        <v>3599</v>
      </c>
      <c r="G1145" s="29" t="n">
        <v>2150</v>
      </c>
      <c r="H1145" s="29" t="n">
        <f aca="false">F1145*G1145</f>
        <v>7737850</v>
      </c>
    </row>
    <row r="1146" customFormat="false" ht="15" hidden="false" customHeight="false" outlineLevel="0" collapsed="false">
      <c r="A1146" s="27" t="n">
        <v>2024</v>
      </c>
      <c r="B1146" s="27" t="n">
        <v>12</v>
      </c>
      <c r="C1146" s="27" t="s">
        <v>42</v>
      </c>
      <c r="D1146" s="27" t="s">
        <v>22</v>
      </c>
      <c r="E1146" s="27" t="s">
        <v>58</v>
      </c>
      <c r="F1146" s="28" t="n">
        <v>2495</v>
      </c>
      <c r="G1146" s="29" t="n">
        <v>2070</v>
      </c>
      <c r="H1146" s="29" t="n">
        <f aca="false">F1146*G1146</f>
        <v>5164650</v>
      </c>
    </row>
    <row r="1147" customFormat="false" ht="15" hidden="false" customHeight="false" outlineLevel="0" collapsed="false">
      <c r="A1147" s="27" t="n">
        <v>2024</v>
      </c>
      <c r="B1147" s="27" t="n">
        <v>12</v>
      </c>
      <c r="C1147" s="27" t="s">
        <v>42</v>
      </c>
      <c r="D1147" s="27" t="s">
        <v>24</v>
      </c>
      <c r="E1147" s="27" t="s">
        <v>50</v>
      </c>
      <c r="F1147" s="28" t="n">
        <v>3234</v>
      </c>
      <c r="G1147" s="29" t="n">
        <v>1980</v>
      </c>
      <c r="H1147" s="29" t="n">
        <f aca="false">F1147*G1147</f>
        <v>6403320</v>
      </c>
    </row>
    <row r="1148" customFormat="false" ht="15" hidden="false" customHeight="false" outlineLevel="0" collapsed="false">
      <c r="A1148" s="27" t="n">
        <v>2024</v>
      </c>
      <c r="B1148" s="27" t="n">
        <v>12</v>
      </c>
      <c r="C1148" s="27" t="s">
        <v>42</v>
      </c>
      <c r="D1148" s="27" t="s">
        <v>24</v>
      </c>
      <c r="E1148" s="27" t="s">
        <v>52</v>
      </c>
      <c r="F1148" s="28" t="n">
        <v>2096</v>
      </c>
      <c r="G1148" s="29" t="n">
        <v>1940</v>
      </c>
      <c r="H1148" s="29" t="n">
        <f aca="false">F1148*G1148</f>
        <v>4066240</v>
      </c>
    </row>
    <row r="1149" customFormat="false" ht="15" hidden="false" customHeight="false" outlineLevel="0" collapsed="false">
      <c r="A1149" s="27" t="n">
        <v>2024</v>
      </c>
      <c r="B1149" s="27" t="n">
        <v>12</v>
      </c>
      <c r="C1149" s="27" t="s">
        <v>42</v>
      </c>
      <c r="D1149" s="27" t="s">
        <v>24</v>
      </c>
      <c r="E1149" s="27" t="s">
        <v>54</v>
      </c>
      <c r="F1149" s="28" t="n">
        <v>1674</v>
      </c>
      <c r="G1149" s="29" t="n">
        <v>1970</v>
      </c>
      <c r="H1149" s="29" t="n">
        <f aca="false">F1149*G1149</f>
        <v>3297780</v>
      </c>
    </row>
    <row r="1150" customFormat="false" ht="15" hidden="false" customHeight="false" outlineLevel="0" collapsed="false">
      <c r="A1150" s="27" t="n">
        <v>2024</v>
      </c>
      <c r="B1150" s="27" t="n">
        <v>12</v>
      </c>
      <c r="C1150" s="27" t="s">
        <v>42</v>
      </c>
      <c r="D1150" s="27" t="s">
        <v>24</v>
      </c>
      <c r="E1150" s="27" t="s">
        <v>56</v>
      </c>
      <c r="F1150" s="28" t="n">
        <v>2120</v>
      </c>
      <c r="G1150" s="29" t="n">
        <v>1940</v>
      </c>
      <c r="H1150" s="29" t="n">
        <f aca="false">F1150*G1150</f>
        <v>4112800</v>
      </c>
    </row>
    <row r="1151" customFormat="false" ht="15" hidden="false" customHeight="false" outlineLevel="0" collapsed="false">
      <c r="A1151" s="27" t="n">
        <v>2024</v>
      </c>
      <c r="B1151" s="27" t="n">
        <v>12</v>
      </c>
      <c r="C1151" s="27" t="s">
        <v>42</v>
      </c>
      <c r="D1151" s="27" t="s">
        <v>24</v>
      </c>
      <c r="E1151" s="27" t="s">
        <v>58</v>
      </c>
      <c r="F1151" s="28" t="n">
        <v>1252</v>
      </c>
      <c r="G1151" s="29" t="n">
        <v>1950</v>
      </c>
      <c r="H1151" s="29" t="n">
        <f aca="false">F1151*G1151</f>
        <v>2441400</v>
      </c>
    </row>
    <row r="1152" customFormat="false" ht="15" hidden="false" customHeight="false" outlineLevel="0" collapsed="false">
      <c r="A1152" s="27" t="n">
        <v>2024</v>
      </c>
      <c r="B1152" s="27" t="n">
        <v>12</v>
      </c>
      <c r="C1152" s="27" t="s">
        <v>42</v>
      </c>
      <c r="D1152" s="27" t="s">
        <v>26</v>
      </c>
      <c r="E1152" s="27" t="s">
        <v>50</v>
      </c>
      <c r="F1152" s="28" t="n">
        <v>1486</v>
      </c>
      <c r="G1152" s="29" t="n">
        <v>2330</v>
      </c>
      <c r="H1152" s="29" t="n">
        <f aca="false">F1152*G1152</f>
        <v>3462380</v>
      </c>
    </row>
    <row r="1153" customFormat="false" ht="15" hidden="false" customHeight="false" outlineLevel="0" collapsed="false">
      <c r="A1153" s="27" t="n">
        <v>2024</v>
      </c>
      <c r="B1153" s="27" t="n">
        <v>12</v>
      </c>
      <c r="C1153" s="27" t="s">
        <v>42</v>
      </c>
      <c r="D1153" s="27" t="s">
        <v>26</v>
      </c>
      <c r="E1153" s="27" t="s">
        <v>52</v>
      </c>
      <c r="F1153" s="28" t="n">
        <v>820</v>
      </c>
      <c r="G1153" s="29" t="n">
        <v>2340</v>
      </c>
      <c r="H1153" s="29" t="n">
        <f aca="false">F1153*G1153</f>
        <v>1918800</v>
      </c>
    </row>
    <row r="1154" customFormat="false" ht="15" hidden="false" customHeight="false" outlineLevel="0" collapsed="false">
      <c r="A1154" s="27" t="n">
        <v>2024</v>
      </c>
      <c r="B1154" s="27" t="n">
        <v>12</v>
      </c>
      <c r="C1154" s="27" t="s">
        <v>42</v>
      </c>
      <c r="D1154" s="27" t="s">
        <v>26</v>
      </c>
      <c r="E1154" s="27" t="s">
        <v>54</v>
      </c>
      <c r="F1154" s="28" t="n">
        <v>776</v>
      </c>
      <c r="G1154" s="29" t="n">
        <v>2340</v>
      </c>
      <c r="H1154" s="29" t="n">
        <f aca="false">F1154*G1154</f>
        <v>1815840</v>
      </c>
    </row>
    <row r="1155" customFormat="false" ht="15" hidden="false" customHeight="false" outlineLevel="0" collapsed="false">
      <c r="A1155" s="27" t="n">
        <v>2024</v>
      </c>
      <c r="B1155" s="27" t="n">
        <v>12</v>
      </c>
      <c r="C1155" s="27" t="s">
        <v>42</v>
      </c>
      <c r="D1155" s="27" t="s">
        <v>26</v>
      </c>
      <c r="E1155" s="27" t="s">
        <v>56</v>
      </c>
      <c r="F1155" s="28" t="n">
        <v>992</v>
      </c>
      <c r="G1155" s="29" t="n">
        <v>2350</v>
      </c>
      <c r="H1155" s="29" t="n">
        <f aca="false">F1155*G1155</f>
        <v>2331200</v>
      </c>
    </row>
    <row r="1156" customFormat="false" ht="15" hidden="false" customHeight="false" outlineLevel="0" collapsed="false">
      <c r="A1156" s="27" t="n">
        <v>2024</v>
      </c>
      <c r="B1156" s="27" t="n">
        <v>12</v>
      </c>
      <c r="C1156" s="27" t="s">
        <v>42</v>
      </c>
      <c r="D1156" s="27" t="s">
        <v>26</v>
      </c>
      <c r="E1156" s="27" t="s">
        <v>58</v>
      </c>
      <c r="F1156" s="28" t="n">
        <v>659</v>
      </c>
      <c r="G1156" s="29" t="n">
        <v>2360</v>
      </c>
      <c r="H1156" s="29" t="n">
        <f aca="false">F1156*G1156</f>
        <v>1555240</v>
      </c>
    </row>
    <row r="1157" customFormat="false" ht="15" hidden="false" customHeight="false" outlineLevel="0" collapsed="false">
      <c r="A1157" s="27" t="n">
        <v>2024</v>
      </c>
      <c r="B1157" s="27" t="n">
        <v>12</v>
      </c>
      <c r="C1157" s="27" t="s">
        <v>42</v>
      </c>
      <c r="D1157" s="27" t="s">
        <v>28</v>
      </c>
      <c r="E1157" s="27" t="s">
        <v>50</v>
      </c>
      <c r="F1157" s="28" t="n">
        <v>610</v>
      </c>
      <c r="G1157" s="29" t="n">
        <v>2210</v>
      </c>
      <c r="H1157" s="29" t="n">
        <f aca="false">F1157*G1157</f>
        <v>1348100</v>
      </c>
    </row>
    <row r="1158" customFormat="false" ht="15" hidden="false" customHeight="false" outlineLevel="0" collapsed="false">
      <c r="A1158" s="27" t="n">
        <v>2024</v>
      </c>
      <c r="B1158" s="27" t="n">
        <v>12</v>
      </c>
      <c r="C1158" s="27" t="s">
        <v>42</v>
      </c>
      <c r="D1158" s="27" t="s">
        <v>28</v>
      </c>
      <c r="E1158" s="27" t="s">
        <v>52</v>
      </c>
      <c r="F1158" s="28" t="n">
        <v>391</v>
      </c>
      <c r="G1158" s="29" t="n">
        <v>2210</v>
      </c>
      <c r="H1158" s="29" t="n">
        <f aca="false">F1158*G1158</f>
        <v>864110</v>
      </c>
    </row>
    <row r="1159" customFormat="false" ht="15" hidden="false" customHeight="false" outlineLevel="0" collapsed="false">
      <c r="A1159" s="27" t="n">
        <v>2024</v>
      </c>
      <c r="B1159" s="27" t="n">
        <v>12</v>
      </c>
      <c r="C1159" s="27" t="s">
        <v>42</v>
      </c>
      <c r="D1159" s="27" t="s">
        <v>28</v>
      </c>
      <c r="E1159" s="27" t="s">
        <v>54</v>
      </c>
      <c r="F1159" s="28" t="n">
        <v>300</v>
      </c>
      <c r="G1159" s="29" t="n">
        <v>2210</v>
      </c>
      <c r="H1159" s="29" t="n">
        <f aca="false">F1159*G1159</f>
        <v>663000</v>
      </c>
    </row>
    <row r="1160" customFormat="false" ht="15" hidden="false" customHeight="false" outlineLevel="0" collapsed="false">
      <c r="A1160" s="27" t="n">
        <v>2024</v>
      </c>
      <c r="B1160" s="27" t="n">
        <v>12</v>
      </c>
      <c r="C1160" s="27" t="s">
        <v>42</v>
      </c>
      <c r="D1160" s="27" t="s">
        <v>28</v>
      </c>
      <c r="E1160" s="27" t="s">
        <v>56</v>
      </c>
      <c r="F1160" s="28" t="n">
        <v>343</v>
      </c>
      <c r="G1160" s="29" t="n">
        <v>2210</v>
      </c>
      <c r="H1160" s="29" t="n">
        <f aca="false">F1160*G1160</f>
        <v>758030</v>
      </c>
    </row>
    <row r="1161" customFormat="false" ht="15" hidden="false" customHeight="false" outlineLevel="0" collapsed="false">
      <c r="A1161" s="27" t="n">
        <v>2024</v>
      </c>
      <c r="B1161" s="27" t="n">
        <v>12</v>
      </c>
      <c r="C1161" s="27" t="s">
        <v>42</v>
      </c>
      <c r="D1161" s="27" t="s">
        <v>28</v>
      </c>
      <c r="E1161" s="27" t="s">
        <v>58</v>
      </c>
      <c r="F1161" s="28" t="n">
        <v>265</v>
      </c>
      <c r="G1161" s="29" t="n">
        <v>2200</v>
      </c>
      <c r="H1161" s="29" t="n">
        <f aca="false">F1161*G1161</f>
        <v>583000</v>
      </c>
    </row>
    <row r="1162" customFormat="false" ht="15" hidden="false" customHeight="false" outlineLevel="0" collapsed="false">
      <c r="A1162" s="27" t="n">
        <v>2024</v>
      </c>
      <c r="B1162" s="27" t="n">
        <v>12</v>
      </c>
      <c r="C1162" s="27" t="s">
        <v>44</v>
      </c>
      <c r="D1162" s="27" t="s">
        <v>22</v>
      </c>
      <c r="E1162" s="27" t="s">
        <v>50</v>
      </c>
      <c r="F1162" s="28" t="n">
        <v>3262</v>
      </c>
      <c r="G1162" s="29" t="n">
        <v>3950</v>
      </c>
      <c r="H1162" s="29" t="n">
        <f aca="false">F1162*G1162</f>
        <v>12884900</v>
      </c>
    </row>
    <row r="1163" customFormat="false" ht="15" hidden="false" customHeight="false" outlineLevel="0" collapsed="false">
      <c r="A1163" s="27" t="n">
        <v>2024</v>
      </c>
      <c r="B1163" s="27" t="n">
        <v>12</v>
      </c>
      <c r="C1163" s="27" t="s">
        <v>44</v>
      </c>
      <c r="D1163" s="27" t="s">
        <v>22</v>
      </c>
      <c r="E1163" s="27" t="s">
        <v>52</v>
      </c>
      <c r="F1163" s="28" t="n">
        <v>2111</v>
      </c>
      <c r="G1163" s="29" t="n">
        <v>3900</v>
      </c>
      <c r="H1163" s="29" t="n">
        <f aca="false">F1163*G1163</f>
        <v>8232900</v>
      </c>
    </row>
    <row r="1164" customFormat="false" ht="15" hidden="false" customHeight="false" outlineLevel="0" collapsed="false">
      <c r="A1164" s="27" t="n">
        <v>2024</v>
      </c>
      <c r="B1164" s="27" t="n">
        <v>12</v>
      </c>
      <c r="C1164" s="27" t="s">
        <v>44</v>
      </c>
      <c r="D1164" s="27" t="s">
        <v>22</v>
      </c>
      <c r="E1164" s="27" t="s">
        <v>54</v>
      </c>
      <c r="F1164" s="28" t="n">
        <v>1407</v>
      </c>
      <c r="G1164" s="29" t="n">
        <v>3920</v>
      </c>
      <c r="H1164" s="29" t="n">
        <f aca="false">F1164*G1164</f>
        <v>5515440</v>
      </c>
    </row>
    <row r="1165" customFormat="false" ht="15" hidden="false" customHeight="false" outlineLevel="0" collapsed="false">
      <c r="A1165" s="27" t="n">
        <v>2024</v>
      </c>
      <c r="B1165" s="27" t="n">
        <v>12</v>
      </c>
      <c r="C1165" s="27" t="s">
        <v>44</v>
      </c>
      <c r="D1165" s="27" t="s">
        <v>22</v>
      </c>
      <c r="E1165" s="27" t="s">
        <v>56</v>
      </c>
      <c r="F1165" s="28" t="n">
        <v>1686</v>
      </c>
      <c r="G1165" s="29" t="n">
        <v>3960</v>
      </c>
      <c r="H1165" s="29" t="n">
        <f aca="false">F1165*G1165</f>
        <v>6676560</v>
      </c>
    </row>
    <row r="1166" customFormat="false" ht="15" hidden="false" customHeight="false" outlineLevel="0" collapsed="false">
      <c r="A1166" s="27" t="n">
        <v>2024</v>
      </c>
      <c r="B1166" s="27" t="n">
        <v>12</v>
      </c>
      <c r="C1166" s="27" t="s">
        <v>44</v>
      </c>
      <c r="D1166" s="27" t="s">
        <v>22</v>
      </c>
      <c r="E1166" s="27" t="s">
        <v>58</v>
      </c>
      <c r="F1166" s="28" t="n">
        <v>1309</v>
      </c>
      <c r="G1166" s="29" t="n">
        <v>3940</v>
      </c>
      <c r="H1166" s="29" t="n">
        <f aca="false">F1166*G1166</f>
        <v>5157460</v>
      </c>
    </row>
    <row r="1167" customFormat="false" ht="15" hidden="false" customHeight="false" outlineLevel="0" collapsed="false">
      <c r="A1167" s="27" t="n">
        <v>2024</v>
      </c>
      <c r="B1167" s="27" t="n">
        <v>12</v>
      </c>
      <c r="C1167" s="27" t="s">
        <v>44</v>
      </c>
      <c r="D1167" s="27" t="s">
        <v>24</v>
      </c>
      <c r="E1167" s="27" t="s">
        <v>50</v>
      </c>
      <c r="F1167" s="28" t="n">
        <v>1647</v>
      </c>
      <c r="G1167" s="29" t="n">
        <v>3570</v>
      </c>
      <c r="H1167" s="29" t="n">
        <f aca="false">F1167*G1167</f>
        <v>5879790</v>
      </c>
    </row>
    <row r="1168" customFormat="false" ht="15" hidden="false" customHeight="false" outlineLevel="0" collapsed="false">
      <c r="A1168" s="27" t="n">
        <v>2024</v>
      </c>
      <c r="B1168" s="27" t="n">
        <v>12</v>
      </c>
      <c r="C1168" s="27" t="s">
        <v>44</v>
      </c>
      <c r="D1168" s="27" t="s">
        <v>24</v>
      </c>
      <c r="E1168" s="27" t="s">
        <v>52</v>
      </c>
      <c r="F1168" s="28" t="n">
        <v>1092</v>
      </c>
      <c r="G1168" s="29" t="n">
        <v>3630</v>
      </c>
      <c r="H1168" s="29" t="n">
        <f aca="false">F1168*G1168</f>
        <v>3963960</v>
      </c>
    </row>
    <row r="1169" customFormat="false" ht="15" hidden="false" customHeight="false" outlineLevel="0" collapsed="false">
      <c r="A1169" s="27" t="n">
        <v>2024</v>
      </c>
      <c r="B1169" s="27" t="n">
        <v>12</v>
      </c>
      <c r="C1169" s="27" t="s">
        <v>44</v>
      </c>
      <c r="D1169" s="27" t="s">
        <v>24</v>
      </c>
      <c r="E1169" s="27" t="s">
        <v>54</v>
      </c>
      <c r="F1169" s="28" t="n">
        <v>841</v>
      </c>
      <c r="G1169" s="29" t="n">
        <v>3630</v>
      </c>
      <c r="H1169" s="29" t="n">
        <f aca="false">F1169*G1169</f>
        <v>3052830</v>
      </c>
    </row>
    <row r="1170" customFormat="false" ht="15" hidden="false" customHeight="false" outlineLevel="0" collapsed="false">
      <c r="A1170" s="27" t="n">
        <v>2024</v>
      </c>
      <c r="B1170" s="27" t="n">
        <v>12</v>
      </c>
      <c r="C1170" s="27" t="s">
        <v>44</v>
      </c>
      <c r="D1170" s="27" t="s">
        <v>24</v>
      </c>
      <c r="E1170" s="27" t="s">
        <v>56</v>
      </c>
      <c r="F1170" s="28" t="n">
        <v>1166</v>
      </c>
      <c r="G1170" s="29" t="n">
        <v>3660</v>
      </c>
      <c r="H1170" s="29" t="n">
        <f aca="false">F1170*G1170</f>
        <v>4267560</v>
      </c>
    </row>
    <row r="1171" customFormat="false" ht="15" hidden="false" customHeight="false" outlineLevel="0" collapsed="false">
      <c r="A1171" s="27" t="n">
        <v>2024</v>
      </c>
      <c r="B1171" s="27" t="n">
        <v>12</v>
      </c>
      <c r="C1171" s="27" t="s">
        <v>44</v>
      </c>
      <c r="D1171" s="27" t="s">
        <v>24</v>
      </c>
      <c r="E1171" s="27" t="s">
        <v>58</v>
      </c>
      <c r="F1171" s="28" t="n">
        <v>738</v>
      </c>
      <c r="G1171" s="29" t="n">
        <v>3660</v>
      </c>
      <c r="H1171" s="29" t="n">
        <f aca="false">F1171*G1171</f>
        <v>2701080</v>
      </c>
    </row>
    <row r="1172" customFormat="false" ht="15" hidden="false" customHeight="false" outlineLevel="0" collapsed="false">
      <c r="A1172" s="27" t="n">
        <v>2024</v>
      </c>
      <c r="B1172" s="27" t="n">
        <v>12</v>
      </c>
      <c r="C1172" s="27" t="s">
        <v>44</v>
      </c>
      <c r="D1172" s="27" t="s">
        <v>26</v>
      </c>
      <c r="E1172" s="27" t="s">
        <v>50</v>
      </c>
      <c r="F1172" s="28" t="n">
        <v>892</v>
      </c>
      <c r="G1172" s="29" t="n">
        <v>4360</v>
      </c>
      <c r="H1172" s="29" t="n">
        <f aca="false">F1172*G1172</f>
        <v>3889120</v>
      </c>
    </row>
    <row r="1173" customFormat="false" ht="15" hidden="false" customHeight="false" outlineLevel="0" collapsed="false">
      <c r="A1173" s="27" t="n">
        <v>2024</v>
      </c>
      <c r="B1173" s="27" t="n">
        <v>12</v>
      </c>
      <c r="C1173" s="27" t="s">
        <v>44</v>
      </c>
      <c r="D1173" s="27" t="s">
        <v>26</v>
      </c>
      <c r="E1173" s="27" t="s">
        <v>52</v>
      </c>
      <c r="F1173" s="28" t="n">
        <v>466</v>
      </c>
      <c r="G1173" s="29" t="n">
        <v>4360</v>
      </c>
      <c r="H1173" s="29" t="n">
        <f aca="false">F1173*G1173</f>
        <v>2031760</v>
      </c>
    </row>
    <row r="1174" customFormat="false" ht="15" hidden="false" customHeight="false" outlineLevel="0" collapsed="false">
      <c r="A1174" s="27" t="n">
        <v>2024</v>
      </c>
      <c r="B1174" s="27" t="n">
        <v>12</v>
      </c>
      <c r="C1174" s="27" t="s">
        <v>44</v>
      </c>
      <c r="D1174" s="27" t="s">
        <v>26</v>
      </c>
      <c r="E1174" s="27" t="s">
        <v>54</v>
      </c>
      <c r="F1174" s="28" t="n">
        <v>432</v>
      </c>
      <c r="G1174" s="29" t="n">
        <v>4330</v>
      </c>
      <c r="H1174" s="29" t="n">
        <f aca="false">F1174*G1174</f>
        <v>1870560</v>
      </c>
    </row>
    <row r="1175" customFormat="false" ht="15" hidden="false" customHeight="false" outlineLevel="0" collapsed="false">
      <c r="A1175" s="27" t="n">
        <v>2024</v>
      </c>
      <c r="B1175" s="27" t="n">
        <v>12</v>
      </c>
      <c r="C1175" s="27" t="s">
        <v>44</v>
      </c>
      <c r="D1175" s="27" t="s">
        <v>26</v>
      </c>
      <c r="E1175" s="27" t="s">
        <v>56</v>
      </c>
      <c r="F1175" s="28" t="n">
        <v>489</v>
      </c>
      <c r="G1175" s="29" t="n">
        <v>4340</v>
      </c>
      <c r="H1175" s="29" t="n">
        <f aca="false">F1175*G1175</f>
        <v>2122260</v>
      </c>
    </row>
    <row r="1176" customFormat="false" ht="15" hidden="false" customHeight="false" outlineLevel="0" collapsed="false">
      <c r="A1176" s="27" t="n">
        <v>2024</v>
      </c>
      <c r="B1176" s="27" t="n">
        <v>12</v>
      </c>
      <c r="C1176" s="27" t="s">
        <v>44</v>
      </c>
      <c r="D1176" s="27" t="s">
        <v>26</v>
      </c>
      <c r="E1176" s="27" t="s">
        <v>58</v>
      </c>
      <c r="F1176" s="28" t="n">
        <v>363</v>
      </c>
      <c r="G1176" s="29" t="n">
        <v>4400</v>
      </c>
      <c r="H1176" s="29" t="n">
        <f aca="false">F1176*G1176</f>
        <v>1597200</v>
      </c>
    </row>
    <row r="1177" customFormat="false" ht="15" hidden="false" customHeight="false" outlineLevel="0" collapsed="false">
      <c r="A1177" s="27" t="n">
        <v>2024</v>
      </c>
      <c r="B1177" s="27" t="n">
        <v>12</v>
      </c>
      <c r="C1177" s="27" t="s">
        <v>44</v>
      </c>
      <c r="D1177" s="27" t="s">
        <v>28</v>
      </c>
      <c r="E1177" s="27" t="s">
        <v>50</v>
      </c>
      <c r="F1177" s="28" t="n">
        <v>330</v>
      </c>
      <c r="G1177" s="29" t="n">
        <v>4120</v>
      </c>
      <c r="H1177" s="29" t="n">
        <f aca="false">F1177*G1177</f>
        <v>1359600</v>
      </c>
    </row>
    <row r="1178" customFormat="false" ht="15" hidden="false" customHeight="false" outlineLevel="0" collapsed="false">
      <c r="A1178" s="27" t="n">
        <v>2024</v>
      </c>
      <c r="B1178" s="27" t="n">
        <v>12</v>
      </c>
      <c r="C1178" s="27" t="s">
        <v>44</v>
      </c>
      <c r="D1178" s="27" t="s">
        <v>28</v>
      </c>
      <c r="E1178" s="27" t="s">
        <v>52</v>
      </c>
      <c r="F1178" s="28" t="n">
        <v>199</v>
      </c>
      <c r="G1178" s="29" t="n">
        <v>4100</v>
      </c>
      <c r="H1178" s="29" t="n">
        <f aca="false">F1178*G1178</f>
        <v>815900</v>
      </c>
    </row>
    <row r="1179" customFormat="false" ht="15" hidden="false" customHeight="false" outlineLevel="0" collapsed="false">
      <c r="A1179" s="27" t="n">
        <v>2024</v>
      </c>
      <c r="B1179" s="27" t="n">
        <v>12</v>
      </c>
      <c r="C1179" s="27" t="s">
        <v>44</v>
      </c>
      <c r="D1179" s="27" t="s">
        <v>28</v>
      </c>
      <c r="E1179" s="27" t="s">
        <v>54</v>
      </c>
      <c r="F1179" s="28" t="n">
        <v>150</v>
      </c>
      <c r="G1179" s="29" t="n">
        <v>4010</v>
      </c>
      <c r="H1179" s="29" t="n">
        <f aca="false">F1179*G1179</f>
        <v>601500</v>
      </c>
    </row>
    <row r="1180" customFormat="false" ht="15" hidden="false" customHeight="false" outlineLevel="0" collapsed="false">
      <c r="A1180" s="27" t="n">
        <v>2024</v>
      </c>
      <c r="B1180" s="27" t="n">
        <v>12</v>
      </c>
      <c r="C1180" s="27" t="s">
        <v>44</v>
      </c>
      <c r="D1180" s="27" t="s">
        <v>28</v>
      </c>
      <c r="E1180" s="27" t="s">
        <v>56</v>
      </c>
      <c r="F1180" s="28" t="n">
        <v>191</v>
      </c>
      <c r="G1180" s="29" t="n">
        <v>4110</v>
      </c>
      <c r="H1180" s="29" t="n">
        <f aca="false">F1180*G1180</f>
        <v>785010</v>
      </c>
    </row>
    <row r="1181" customFormat="false" ht="15" hidden="false" customHeight="false" outlineLevel="0" collapsed="false">
      <c r="A1181" s="27" t="n">
        <v>2024</v>
      </c>
      <c r="B1181" s="27" t="n">
        <v>12</v>
      </c>
      <c r="C1181" s="27" t="s">
        <v>44</v>
      </c>
      <c r="D1181" s="27" t="s">
        <v>28</v>
      </c>
      <c r="E1181" s="27" t="s">
        <v>58</v>
      </c>
      <c r="F1181" s="28" t="n">
        <v>138</v>
      </c>
      <c r="G1181" s="29" t="n">
        <v>4160</v>
      </c>
      <c r="H1181" s="29" t="n">
        <f aca="false">F1181*G1181</f>
        <v>574080</v>
      </c>
    </row>
    <row r="1182" customFormat="false" ht="15" hidden="false" customHeight="false" outlineLevel="0" collapsed="false">
      <c r="A1182" s="27" t="n">
        <v>2024</v>
      </c>
      <c r="B1182" s="27" t="n">
        <v>12</v>
      </c>
      <c r="C1182" s="27" t="s">
        <v>45</v>
      </c>
      <c r="D1182" s="27" t="s">
        <v>22</v>
      </c>
      <c r="E1182" s="27" t="s">
        <v>50</v>
      </c>
      <c r="F1182" s="28" t="n">
        <v>4594</v>
      </c>
      <c r="G1182" s="29" t="n">
        <v>2380</v>
      </c>
      <c r="H1182" s="29" t="n">
        <f aca="false">F1182*G1182</f>
        <v>10933720</v>
      </c>
    </row>
    <row r="1183" customFormat="false" ht="15" hidden="false" customHeight="false" outlineLevel="0" collapsed="false">
      <c r="A1183" s="27" t="n">
        <v>2024</v>
      </c>
      <c r="B1183" s="27" t="n">
        <v>12</v>
      </c>
      <c r="C1183" s="27" t="s">
        <v>45</v>
      </c>
      <c r="D1183" s="27" t="s">
        <v>22</v>
      </c>
      <c r="E1183" s="27" t="s">
        <v>52</v>
      </c>
      <c r="F1183" s="28" t="n">
        <v>2616</v>
      </c>
      <c r="G1183" s="29" t="n">
        <v>2410</v>
      </c>
      <c r="H1183" s="29" t="n">
        <f aca="false">F1183*G1183</f>
        <v>6304560</v>
      </c>
    </row>
    <row r="1184" customFormat="false" ht="15" hidden="false" customHeight="false" outlineLevel="0" collapsed="false">
      <c r="A1184" s="27" t="n">
        <v>2024</v>
      </c>
      <c r="B1184" s="27" t="n">
        <v>12</v>
      </c>
      <c r="C1184" s="27" t="s">
        <v>45</v>
      </c>
      <c r="D1184" s="27" t="s">
        <v>22</v>
      </c>
      <c r="E1184" s="27" t="s">
        <v>54</v>
      </c>
      <c r="F1184" s="28" t="n">
        <v>2400</v>
      </c>
      <c r="G1184" s="29" t="n">
        <v>2440</v>
      </c>
      <c r="H1184" s="29" t="n">
        <f aca="false">F1184*G1184</f>
        <v>5856000</v>
      </c>
    </row>
    <row r="1185" customFormat="false" ht="15" hidden="false" customHeight="false" outlineLevel="0" collapsed="false">
      <c r="A1185" s="27" t="n">
        <v>2024</v>
      </c>
      <c r="B1185" s="27" t="n">
        <v>12</v>
      </c>
      <c r="C1185" s="27" t="s">
        <v>45</v>
      </c>
      <c r="D1185" s="27" t="s">
        <v>22</v>
      </c>
      <c r="E1185" s="27" t="s">
        <v>56</v>
      </c>
      <c r="F1185" s="28" t="n">
        <v>2671</v>
      </c>
      <c r="G1185" s="29" t="n">
        <v>2390</v>
      </c>
      <c r="H1185" s="29" t="n">
        <f aca="false">F1185*G1185</f>
        <v>6383690</v>
      </c>
    </row>
    <row r="1186" customFormat="false" ht="15" hidden="false" customHeight="false" outlineLevel="0" collapsed="false">
      <c r="A1186" s="27" t="n">
        <v>2024</v>
      </c>
      <c r="B1186" s="27" t="n">
        <v>12</v>
      </c>
      <c r="C1186" s="27" t="s">
        <v>45</v>
      </c>
      <c r="D1186" s="27" t="s">
        <v>22</v>
      </c>
      <c r="E1186" s="27" t="s">
        <v>58</v>
      </c>
      <c r="F1186" s="28" t="n">
        <v>1654</v>
      </c>
      <c r="G1186" s="29" t="n">
        <v>2420</v>
      </c>
      <c r="H1186" s="29" t="n">
        <f aca="false">F1186*G1186</f>
        <v>4002680</v>
      </c>
    </row>
    <row r="1187" customFormat="false" ht="15" hidden="false" customHeight="false" outlineLevel="0" collapsed="false">
      <c r="A1187" s="27" t="n">
        <v>2024</v>
      </c>
      <c r="B1187" s="27" t="n">
        <v>12</v>
      </c>
      <c r="C1187" s="27" t="s">
        <v>45</v>
      </c>
      <c r="D1187" s="27" t="s">
        <v>24</v>
      </c>
      <c r="E1187" s="27" t="s">
        <v>50</v>
      </c>
      <c r="F1187" s="28" t="n">
        <v>2174</v>
      </c>
      <c r="G1187" s="29" t="n">
        <v>2230</v>
      </c>
      <c r="H1187" s="29" t="n">
        <f aca="false">F1187*G1187</f>
        <v>4848020</v>
      </c>
    </row>
    <row r="1188" customFormat="false" ht="15" hidden="false" customHeight="false" outlineLevel="0" collapsed="false">
      <c r="A1188" s="27" t="n">
        <v>2024</v>
      </c>
      <c r="B1188" s="27" t="n">
        <v>12</v>
      </c>
      <c r="C1188" s="27" t="s">
        <v>45</v>
      </c>
      <c r="D1188" s="27" t="s">
        <v>24</v>
      </c>
      <c r="E1188" s="27" t="s">
        <v>52</v>
      </c>
      <c r="F1188" s="28" t="n">
        <v>1429</v>
      </c>
      <c r="G1188" s="29" t="n">
        <v>2270</v>
      </c>
      <c r="H1188" s="29" t="n">
        <f aca="false">F1188*G1188</f>
        <v>3243830</v>
      </c>
    </row>
    <row r="1189" customFormat="false" ht="15" hidden="false" customHeight="false" outlineLevel="0" collapsed="false">
      <c r="A1189" s="27" t="n">
        <v>2024</v>
      </c>
      <c r="B1189" s="27" t="n">
        <v>12</v>
      </c>
      <c r="C1189" s="27" t="s">
        <v>45</v>
      </c>
      <c r="D1189" s="27" t="s">
        <v>24</v>
      </c>
      <c r="E1189" s="27" t="s">
        <v>54</v>
      </c>
      <c r="F1189" s="28" t="n">
        <v>1130</v>
      </c>
      <c r="G1189" s="29" t="n">
        <v>2180</v>
      </c>
      <c r="H1189" s="29" t="n">
        <f aca="false">F1189*G1189</f>
        <v>2463400</v>
      </c>
    </row>
    <row r="1190" customFormat="false" ht="15" hidden="false" customHeight="false" outlineLevel="0" collapsed="false">
      <c r="A1190" s="27" t="n">
        <v>2024</v>
      </c>
      <c r="B1190" s="27" t="n">
        <v>12</v>
      </c>
      <c r="C1190" s="27" t="s">
        <v>45</v>
      </c>
      <c r="D1190" s="27" t="s">
        <v>24</v>
      </c>
      <c r="E1190" s="27" t="s">
        <v>56</v>
      </c>
      <c r="F1190" s="28" t="n">
        <v>1400</v>
      </c>
      <c r="G1190" s="29" t="n">
        <v>2220</v>
      </c>
      <c r="H1190" s="29" t="n">
        <f aca="false">F1190*G1190</f>
        <v>3108000</v>
      </c>
    </row>
    <row r="1191" customFormat="false" ht="15" hidden="false" customHeight="false" outlineLevel="0" collapsed="false">
      <c r="A1191" s="27" t="n">
        <v>2024</v>
      </c>
      <c r="B1191" s="27" t="n">
        <v>12</v>
      </c>
      <c r="C1191" s="27" t="s">
        <v>45</v>
      </c>
      <c r="D1191" s="27" t="s">
        <v>24</v>
      </c>
      <c r="E1191" s="27" t="s">
        <v>58</v>
      </c>
      <c r="F1191" s="28" t="n">
        <v>936</v>
      </c>
      <c r="G1191" s="29" t="n">
        <v>2230</v>
      </c>
      <c r="H1191" s="29" t="n">
        <f aca="false">F1191*G1191</f>
        <v>2087280</v>
      </c>
    </row>
    <row r="1192" customFormat="false" ht="15" hidden="false" customHeight="false" outlineLevel="0" collapsed="false">
      <c r="A1192" s="27" t="n">
        <v>2024</v>
      </c>
      <c r="B1192" s="27" t="n">
        <v>12</v>
      </c>
      <c r="C1192" s="27" t="s">
        <v>45</v>
      </c>
      <c r="D1192" s="27" t="s">
        <v>26</v>
      </c>
      <c r="E1192" s="27" t="s">
        <v>50</v>
      </c>
      <c r="F1192" s="28" t="n">
        <v>1092</v>
      </c>
      <c r="G1192" s="29" t="n">
        <v>2710</v>
      </c>
      <c r="H1192" s="29" t="n">
        <f aca="false">F1192*G1192</f>
        <v>2959320</v>
      </c>
    </row>
    <row r="1193" customFormat="false" ht="15" hidden="false" customHeight="false" outlineLevel="0" collapsed="false">
      <c r="A1193" s="27" t="n">
        <v>2024</v>
      </c>
      <c r="B1193" s="27" t="n">
        <v>12</v>
      </c>
      <c r="C1193" s="27" t="s">
        <v>45</v>
      </c>
      <c r="D1193" s="27" t="s">
        <v>26</v>
      </c>
      <c r="E1193" s="27" t="s">
        <v>52</v>
      </c>
      <c r="F1193" s="28" t="n">
        <v>639</v>
      </c>
      <c r="G1193" s="29" t="n">
        <v>2670</v>
      </c>
      <c r="H1193" s="29" t="n">
        <f aca="false">F1193*G1193</f>
        <v>1706130</v>
      </c>
    </row>
    <row r="1194" customFormat="false" ht="15" hidden="false" customHeight="false" outlineLevel="0" collapsed="false">
      <c r="A1194" s="27" t="n">
        <v>2024</v>
      </c>
      <c r="B1194" s="27" t="n">
        <v>12</v>
      </c>
      <c r="C1194" s="27" t="s">
        <v>45</v>
      </c>
      <c r="D1194" s="27" t="s">
        <v>26</v>
      </c>
      <c r="E1194" s="27" t="s">
        <v>54</v>
      </c>
      <c r="F1194" s="28" t="n">
        <v>573</v>
      </c>
      <c r="G1194" s="29" t="n">
        <v>2670</v>
      </c>
      <c r="H1194" s="29" t="n">
        <f aca="false">F1194*G1194</f>
        <v>1529910</v>
      </c>
    </row>
    <row r="1195" customFormat="false" ht="15" hidden="false" customHeight="false" outlineLevel="0" collapsed="false">
      <c r="A1195" s="27" t="n">
        <v>2024</v>
      </c>
      <c r="B1195" s="27" t="n">
        <v>12</v>
      </c>
      <c r="C1195" s="27" t="s">
        <v>45</v>
      </c>
      <c r="D1195" s="27" t="s">
        <v>26</v>
      </c>
      <c r="E1195" s="27" t="s">
        <v>56</v>
      </c>
      <c r="F1195" s="28" t="n">
        <v>605</v>
      </c>
      <c r="G1195" s="29" t="n">
        <v>2710</v>
      </c>
      <c r="H1195" s="29" t="n">
        <f aca="false">F1195*G1195</f>
        <v>1639550</v>
      </c>
    </row>
    <row r="1196" customFormat="false" ht="15" hidden="false" customHeight="false" outlineLevel="0" collapsed="false">
      <c r="A1196" s="27" t="n">
        <v>2024</v>
      </c>
      <c r="B1196" s="27" t="n">
        <v>12</v>
      </c>
      <c r="C1196" s="27" t="s">
        <v>45</v>
      </c>
      <c r="D1196" s="27" t="s">
        <v>26</v>
      </c>
      <c r="E1196" s="27" t="s">
        <v>58</v>
      </c>
      <c r="F1196" s="28" t="n">
        <v>475</v>
      </c>
      <c r="G1196" s="29" t="n">
        <v>2690</v>
      </c>
      <c r="H1196" s="29" t="n">
        <f aca="false">F1196*G1196</f>
        <v>1277750</v>
      </c>
    </row>
    <row r="1197" customFormat="false" ht="15" hidden="false" customHeight="false" outlineLevel="0" collapsed="false">
      <c r="A1197" s="27" t="n">
        <v>2024</v>
      </c>
      <c r="B1197" s="27" t="n">
        <v>12</v>
      </c>
      <c r="C1197" s="27" t="s">
        <v>45</v>
      </c>
      <c r="D1197" s="27" t="s">
        <v>28</v>
      </c>
      <c r="E1197" s="27" t="s">
        <v>50</v>
      </c>
      <c r="F1197" s="28" t="n">
        <v>384</v>
      </c>
      <c r="G1197" s="29" t="n">
        <v>2540</v>
      </c>
      <c r="H1197" s="29" t="n">
        <f aca="false">F1197*G1197</f>
        <v>975360</v>
      </c>
    </row>
    <row r="1198" customFormat="false" ht="15" hidden="false" customHeight="false" outlineLevel="0" collapsed="false">
      <c r="A1198" s="27" t="n">
        <v>2024</v>
      </c>
      <c r="B1198" s="27" t="n">
        <v>12</v>
      </c>
      <c r="C1198" s="27" t="s">
        <v>45</v>
      </c>
      <c r="D1198" s="27" t="s">
        <v>28</v>
      </c>
      <c r="E1198" s="27" t="s">
        <v>52</v>
      </c>
      <c r="F1198" s="28" t="n">
        <v>244</v>
      </c>
      <c r="G1198" s="29" t="n">
        <v>2530</v>
      </c>
      <c r="H1198" s="29" t="n">
        <f aca="false">F1198*G1198</f>
        <v>617320</v>
      </c>
    </row>
    <row r="1199" customFormat="false" ht="15" hidden="false" customHeight="false" outlineLevel="0" collapsed="false">
      <c r="A1199" s="27" t="n">
        <v>2024</v>
      </c>
      <c r="B1199" s="27" t="n">
        <v>12</v>
      </c>
      <c r="C1199" s="27" t="s">
        <v>45</v>
      </c>
      <c r="D1199" s="27" t="s">
        <v>28</v>
      </c>
      <c r="E1199" s="27" t="s">
        <v>54</v>
      </c>
      <c r="F1199" s="28" t="n">
        <v>204</v>
      </c>
      <c r="G1199" s="29" t="n">
        <v>2490</v>
      </c>
      <c r="H1199" s="29" t="n">
        <f aca="false">F1199*G1199</f>
        <v>507960</v>
      </c>
    </row>
    <row r="1200" customFormat="false" ht="15" hidden="false" customHeight="false" outlineLevel="0" collapsed="false">
      <c r="A1200" s="27" t="n">
        <v>2024</v>
      </c>
      <c r="B1200" s="27" t="n">
        <v>12</v>
      </c>
      <c r="C1200" s="27" t="s">
        <v>45</v>
      </c>
      <c r="D1200" s="27" t="s">
        <v>28</v>
      </c>
      <c r="E1200" s="27" t="s">
        <v>56</v>
      </c>
      <c r="F1200" s="28" t="n">
        <v>247</v>
      </c>
      <c r="G1200" s="29" t="n">
        <v>2520</v>
      </c>
      <c r="H1200" s="29" t="n">
        <f aca="false">F1200*G1200</f>
        <v>622440</v>
      </c>
    </row>
    <row r="1201" customFormat="false" ht="15" hidden="false" customHeight="false" outlineLevel="0" collapsed="false">
      <c r="A1201" s="27" t="n">
        <v>2024</v>
      </c>
      <c r="B1201" s="27" t="n">
        <v>12</v>
      </c>
      <c r="C1201" s="27" t="s">
        <v>45</v>
      </c>
      <c r="D1201" s="27" t="s">
        <v>28</v>
      </c>
      <c r="E1201" s="27" t="s">
        <v>58</v>
      </c>
      <c r="F1201" s="28" t="n">
        <v>167</v>
      </c>
      <c r="G1201" s="29" t="n">
        <v>2530</v>
      </c>
      <c r="H1201" s="29" t="n">
        <f aca="false">F1201*G1201</f>
        <v>422510</v>
      </c>
    </row>
    <row r="1202" customFormat="false" ht="15" hidden="false" customHeight="false" outlineLevel="0" collapsed="false">
      <c r="A1202" s="27" t="n">
        <v>2025</v>
      </c>
      <c r="B1202" s="27" t="n">
        <v>1</v>
      </c>
      <c r="C1202" s="27" t="s">
        <v>38</v>
      </c>
      <c r="D1202" s="27" t="s">
        <v>22</v>
      </c>
      <c r="E1202" s="27" t="s">
        <v>50</v>
      </c>
      <c r="F1202" s="28" t="n">
        <v>8048</v>
      </c>
      <c r="G1202" s="29" t="n">
        <v>2770</v>
      </c>
      <c r="H1202" s="29" t="n">
        <f aca="false">F1202*G1202</f>
        <v>22292960</v>
      </c>
    </row>
    <row r="1203" customFormat="false" ht="15" hidden="false" customHeight="false" outlineLevel="0" collapsed="false">
      <c r="A1203" s="27" t="n">
        <v>2025</v>
      </c>
      <c r="B1203" s="27" t="n">
        <v>1</v>
      </c>
      <c r="C1203" s="27" t="s">
        <v>38</v>
      </c>
      <c r="D1203" s="27" t="s">
        <v>22</v>
      </c>
      <c r="E1203" s="27" t="s">
        <v>52</v>
      </c>
      <c r="F1203" s="28" t="n">
        <v>5217</v>
      </c>
      <c r="G1203" s="29" t="n">
        <v>2720</v>
      </c>
      <c r="H1203" s="29" t="n">
        <f aca="false">F1203*G1203</f>
        <v>14190240</v>
      </c>
    </row>
    <row r="1204" customFormat="false" ht="15" hidden="false" customHeight="false" outlineLevel="0" collapsed="false">
      <c r="A1204" s="27" t="n">
        <v>2025</v>
      </c>
      <c r="B1204" s="27" t="n">
        <v>1</v>
      </c>
      <c r="C1204" s="27" t="s">
        <v>38</v>
      </c>
      <c r="D1204" s="27" t="s">
        <v>22</v>
      </c>
      <c r="E1204" s="27" t="s">
        <v>54</v>
      </c>
      <c r="F1204" s="28" t="n">
        <v>3938</v>
      </c>
      <c r="G1204" s="29" t="n">
        <v>2700</v>
      </c>
      <c r="H1204" s="29" t="n">
        <f aca="false">F1204*G1204</f>
        <v>10632600</v>
      </c>
    </row>
    <row r="1205" customFormat="false" ht="15" hidden="false" customHeight="false" outlineLevel="0" collapsed="false">
      <c r="A1205" s="27" t="n">
        <v>2025</v>
      </c>
      <c r="B1205" s="27" t="n">
        <v>1</v>
      </c>
      <c r="C1205" s="27" t="s">
        <v>38</v>
      </c>
      <c r="D1205" s="27" t="s">
        <v>22</v>
      </c>
      <c r="E1205" s="27" t="s">
        <v>56</v>
      </c>
      <c r="F1205" s="28" t="n">
        <v>4959</v>
      </c>
      <c r="G1205" s="29" t="n">
        <v>2730</v>
      </c>
      <c r="H1205" s="29" t="n">
        <f aca="false">F1205*G1205</f>
        <v>13538070</v>
      </c>
    </row>
    <row r="1206" customFormat="false" ht="15" hidden="false" customHeight="false" outlineLevel="0" collapsed="false">
      <c r="A1206" s="27" t="n">
        <v>2025</v>
      </c>
      <c r="B1206" s="27" t="n">
        <v>1</v>
      </c>
      <c r="C1206" s="27" t="s">
        <v>38</v>
      </c>
      <c r="D1206" s="27" t="s">
        <v>22</v>
      </c>
      <c r="E1206" s="27" t="s">
        <v>58</v>
      </c>
      <c r="F1206" s="28" t="n">
        <v>2948</v>
      </c>
      <c r="G1206" s="29" t="n">
        <v>2730</v>
      </c>
      <c r="H1206" s="29" t="n">
        <f aca="false">F1206*G1206</f>
        <v>8048040</v>
      </c>
    </row>
    <row r="1207" customFormat="false" ht="15" hidden="false" customHeight="false" outlineLevel="0" collapsed="false">
      <c r="A1207" s="27" t="n">
        <v>2025</v>
      </c>
      <c r="B1207" s="27" t="n">
        <v>1</v>
      </c>
      <c r="C1207" s="27" t="s">
        <v>38</v>
      </c>
      <c r="D1207" s="27" t="s">
        <v>24</v>
      </c>
      <c r="E1207" s="27" t="s">
        <v>50</v>
      </c>
      <c r="F1207" s="28" t="n">
        <v>4551</v>
      </c>
      <c r="G1207" s="29" t="n">
        <v>2590</v>
      </c>
      <c r="H1207" s="29" t="n">
        <f aca="false">F1207*G1207</f>
        <v>11787090</v>
      </c>
    </row>
    <row r="1208" customFormat="false" ht="15" hidden="false" customHeight="false" outlineLevel="0" collapsed="false">
      <c r="A1208" s="27" t="n">
        <v>2025</v>
      </c>
      <c r="B1208" s="27" t="n">
        <v>1</v>
      </c>
      <c r="C1208" s="27" t="s">
        <v>38</v>
      </c>
      <c r="D1208" s="27" t="s">
        <v>24</v>
      </c>
      <c r="E1208" s="27" t="s">
        <v>52</v>
      </c>
      <c r="F1208" s="28" t="n">
        <v>2725</v>
      </c>
      <c r="G1208" s="29" t="n">
        <v>2510</v>
      </c>
      <c r="H1208" s="29" t="n">
        <f aca="false">F1208*G1208</f>
        <v>6839750</v>
      </c>
    </row>
    <row r="1209" customFormat="false" ht="15" hidden="false" customHeight="false" outlineLevel="0" collapsed="false">
      <c r="A1209" s="27" t="n">
        <v>2025</v>
      </c>
      <c r="B1209" s="27" t="n">
        <v>1</v>
      </c>
      <c r="C1209" s="27" t="s">
        <v>38</v>
      </c>
      <c r="D1209" s="27" t="s">
        <v>24</v>
      </c>
      <c r="E1209" s="27" t="s">
        <v>54</v>
      </c>
      <c r="F1209" s="28" t="n">
        <v>2515</v>
      </c>
      <c r="G1209" s="29" t="n">
        <v>2590</v>
      </c>
      <c r="H1209" s="29" t="n">
        <f aca="false">F1209*G1209</f>
        <v>6513850</v>
      </c>
    </row>
    <row r="1210" customFormat="false" ht="15" hidden="false" customHeight="false" outlineLevel="0" collapsed="false">
      <c r="A1210" s="27" t="n">
        <v>2025</v>
      </c>
      <c r="B1210" s="27" t="n">
        <v>1</v>
      </c>
      <c r="C1210" s="27" t="s">
        <v>38</v>
      </c>
      <c r="D1210" s="27" t="s">
        <v>24</v>
      </c>
      <c r="E1210" s="27" t="s">
        <v>56</v>
      </c>
      <c r="F1210" s="28" t="n">
        <v>2724</v>
      </c>
      <c r="G1210" s="29" t="n">
        <v>2530</v>
      </c>
      <c r="H1210" s="29" t="n">
        <f aca="false">F1210*G1210</f>
        <v>6891720</v>
      </c>
    </row>
    <row r="1211" customFormat="false" ht="15" hidden="false" customHeight="false" outlineLevel="0" collapsed="false">
      <c r="A1211" s="27" t="n">
        <v>2025</v>
      </c>
      <c r="B1211" s="27" t="n">
        <v>1</v>
      </c>
      <c r="C1211" s="27" t="s">
        <v>38</v>
      </c>
      <c r="D1211" s="27" t="s">
        <v>24</v>
      </c>
      <c r="E1211" s="27" t="s">
        <v>58</v>
      </c>
      <c r="F1211" s="28" t="n">
        <v>1996</v>
      </c>
      <c r="G1211" s="29" t="n">
        <v>2490</v>
      </c>
      <c r="H1211" s="29" t="n">
        <f aca="false">F1211*G1211</f>
        <v>4970040</v>
      </c>
    </row>
    <row r="1212" customFormat="false" ht="15" hidden="false" customHeight="false" outlineLevel="0" collapsed="false">
      <c r="A1212" s="27" t="n">
        <v>2025</v>
      </c>
      <c r="B1212" s="27" t="n">
        <v>1</v>
      </c>
      <c r="C1212" s="27" t="s">
        <v>38</v>
      </c>
      <c r="D1212" s="27" t="s">
        <v>26</v>
      </c>
      <c r="E1212" s="27" t="s">
        <v>50</v>
      </c>
      <c r="F1212" s="28" t="n">
        <v>2201</v>
      </c>
      <c r="G1212" s="29" t="n">
        <v>3060</v>
      </c>
      <c r="H1212" s="29" t="n">
        <f aca="false">F1212*G1212</f>
        <v>6735060</v>
      </c>
    </row>
    <row r="1213" customFormat="false" ht="15" hidden="false" customHeight="false" outlineLevel="0" collapsed="false">
      <c r="A1213" s="27" t="n">
        <v>2025</v>
      </c>
      <c r="B1213" s="27" t="n">
        <v>1</v>
      </c>
      <c r="C1213" s="27" t="s">
        <v>38</v>
      </c>
      <c r="D1213" s="27" t="s">
        <v>26</v>
      </c>
      <c r="E1213" s="27" t="s">
        <v>52</v>
      </c>
      <c r="F1213" s="28" t="n">
        <v>1634</v>
      </c>
      <c r="G1213" s="29" t="n">
        <v>3060</v>
      </c>
      <c r="H1213" s="29" t="n">
        <f aca="false">F1213*G1213</f>
        <v>5000040</v>
      </c>
    </row>
    <row r="1214" customFormat="false" ht="15" hidden="false" customHeight="false" outlineLevel="0" collapsed="false">
      <c r="A1214" s="27" t="n">
        <v>2025</v>
      </c>
      <c r="B1214" s="27" t="n">
        <v>1</v>
      </c>
      <c r="C1214" s="27" t="s">
        <v>38</v>
      </c>
      <c r="D1214" s="27" t="s">
        <v>26</v>
      </c>
      <c r="E1214" s="27" t="s">
        <v>54</v>
      </c>
      <c r="F1214" s="28" t="n">
        <v>1220</v>
      </c>
      <c r="G1214" s="29" t="n">
        <v>3110</v>
      </c>
      <c r="H1214" s="29" t="n">
        <f aca="false">F1214*G1214</f>
        <v>3794200</v>
      </c>
    </row>
    <row r="1215" customFormat="false" ht="15" hidden="false" customHeight="false" outlineLevel="0" collapsed="false">
      <c r="A1215" s="27" t="n">
        <v>2025</v>
      </c>
      <c r="B1215" s="27" t="n">
        <v>1</v>
      </c>
      <c r="C1215" s="27" t="s">
        <v>38</v>
      </c>
      <c r="D1215" s="27" t="s">
        <v>26</v>
      </c>
      <c r="E1215" s="27" t="s">
        <v>56</v>
      </c>
      <c r="F1215" s="28" t="n">
        <v>1593</v>
      </c>
      <c r="G1215" s="29" t="n">
        <v>3050</v>
      </c>
      <c r="H1215" s="29" t="n">
        <f aca="false">F1215*G1215</f>
        <v>4858650</v>
      </c>
    </row>
    <row r="1216" customFormat="false" ht="15" hidden="false" customHeight="false" outlineLevel="0" collapsed="false">
      <c r="A1216" s="27" t="n">
        <v>2025</v>
      </c>
      <c r="B1216" s="27" t="n">
        <v>1</v>
      </c>
      <c r="C1216" s="27" t="s">
        <v>38</v>
      </c>
      <c r="D1216" s="27" t="s">
        <v>26</v>
      </c>
      <c r="E1216" s="27" t="s">
        <v>58</v>
      </c>
      <c r="F1216" s="28" t="n">
        <v>985</v>
      </c>
      <c r="G1216" s="29" t="n">
        <v>3130</v>
      </c>
      <c r="H1216" s="29" t="n">
        <f aca="false">F1216*G1216</f>
        <v>3083050</v>
      </c>
    </row>
    <row r="1217" customFormat="false" ht="15" hidden="false" customHeight="false" outlineLevel="0" collapsed="false">
      <c r="A1217" s="27" t="n">
        <v>2025</v>
      </c>
      <c r="B1217" s="27" t="n">
        <v>1</v>
      </c>
      <c r="C1217" s="27" t="s">
        <v>38</v>
      </c>
      <c r="D1217" s="27" t="s">
        <v>28</v>
      </c>
      <c r="E1217" s="27" t="s">
        <v>50</v>
      </c>
      <c r="F1217" s="28" t="n">
        <v>1058</v>
      </c>
      <c r="G1217" s="29" t="n">
        <v>2910</v>
      </c>
      <c r="H1217" s="29" t="n">
        <f aca="false">F1217*G1217</f>
        <v>3078780</v>
      </c>
    </row>
    <row r="1218" customFormat="false" ht="15" hidden="false" customHeight="false" outlineLevel="0" collapsed="false">
      <c r="A1218" s="27" t="n">
        <v>2025</v>
      </c>
      <c r="B1218" s="27" t="n">
        <v>1</v>
      </c>
      <c r="C1218" s="27" t="s">
        <v>38</v>
      </c>
      <c r="D1218" s="27" t="s">
        <v>28</v>
      </c>
      <c r="E1218" s="27" t="s">
        <v>52</v>
      </c>
      <c r="F1218" s="28" t="n">
        <v>680</v>
      </c>
      <c r="G1218" s="29" t="n">
        <v>2880</v>
      </c>
      <c r="H1218" s="29" t="n">
        <f aca="false">F1218*G1218</f>
        <v>1958400</v>
      </c>
    </row>
    <row r="1219" customFormat="false" ht="15" hidden="false" customHeight="false" outlineLevel="0" collapsed="false">
      <c r="A1219" s="27" t="n">
        <v>2025</v>
      </c>
      <c r="B1219" s="27" t="n">
        <v>1</v>
      </c>
      <c r="C1219" s="27" t="s">
        <v>38</v>
      </c>
      <c r="D1219" s="27" t="s">
        <v>28</v>
      </c>
      <c r="E1219" s="27" t="s">
        <v>54</v>
      </c>
      <c r="F1219" s="28" t="n">
        <v>566</v>
      </c>
      <c r="G1219" s="29" t="n">
        <v>2850</v>
      </c>
      <c r="H1219" s="29" t="n">
        <f aca="false">F1219*G1219</f>
        <v>1613100</v>
      </c>
    </row>
    <row r="1220" customFormat="false" ht="15" hidden="false" customHeight="false" outlineLevel="0" collapsed="false">
      <c r="A1220" s="27" t="n">
        <v>2025</v>
      </c>
      <c r="B1220" s="27" t="n">
        <v>1</v>
      </c>
      <c r="C1220" s="27" t="s">
        <v>38</v>
      </c>
      <c r="D1220" s="27" t="s">
        <v>28</v>
      </c>
      <c r="E1220" s="27" t="s">
        <v>56</v>
      </c>
      <c r="F1220" s="28" t="n">
        <v>647</v>
      </c>
      <c r="G1220" s="29" t="n">
        <v>2890</v>
      </c>
      <c r="H1220" s="29" t="n">
        <f aca="false">F1220*G1220</f>
        <v>1869830</v>
      </c>
    </row>
    <row r="1221" customFormat="false" ht="15" hidden="false" customHeight="false" outlineLevel="0" collapsed="false">
      <c r="A1221" s="27" t="n">
        <v>2025</v>
      </c>
      <c r="B1221" s="27" t="n">
        <v>1</v>
      </c>
      <c r="C1221" s="27" t="s">
        <v>38</v>
      </c>
      <c r="D1221" s="27" t="s">
        <v>28</v>
      </c>
      <c r="E1221" s="27" t="s">
        <v>58</v>
      </c>
      <c r="F1221" s="28" t="n">
        <v>489</v>
      </c>
      <c r="G1221" s="29" t="n">
        <v>2880</v>
      </c>
      <c r="H1221" s="29" t="n">
        <f aca="false">F1221*G1221</f>
        <v>1408320</v>
      </c>
    </row>
    <row r="1222" customFormat="false" ht="15" hidden="false" customHeight="false" outlineLevel="0" collapsed="false">
      <c r="A1222" s="27" t="n">
        <v>2025</v>
      </c>
      <c r="B1222" s="27" t="n">
        <v>1</v>
      </c>
      <c r="C1222" s="27" t="s">
        <v>40</v>
      </c>
      <c r="D1222" s="27" t="s">
        <v>22</v>
      </c>
      <c r="E1222" s="27" t="s">
        <v>50</v>
      </c>
      <c r="F1222" s="28" t="n">
        <v>4218</v>
      </c>
      <c r="G1222" s="29" t="n">
        <v>2440</v>
      </c>
      <c r="H1222" s="29" t="n">
        <f aca="false">F1222*G1222</f>
        <v>10291920</v>
      </c>
    </row>
    <row r="1223" customFormat="false" ht="15" hidden="false" customHeight="false" outlineLevel="0" collapsed="false">
      <c r="A1223" s="27" t="n">
        <v>2025</v>
      </c>
      <c r="B1223" s="27" t="n">
        <v>1</v>
      </c>
      <c r="C1223" s="27" t="s">
        <v>40</v>
      </c>
      <c r="D1223" s="27" t="s">
        <v>22</v>
      </c>
      <c r="E1223" s="27" t="s">
        <v>52</v>
      </c>
      <c r="F1223" s="28" t="n">
        <v>2499</v>
      </c>
      <c r="G1223" s="29" t="n">
        <v>2440</v>
      </c>
      <c r="H1223" s="29" t="n">
        <f aca="false">F1223*G1223</f>
        <v>6097560</v>
      </c>
    </row>
    <row r="1224" customFormat="false" ht="15" hidden="false" customHeight="false" outlineLevel="0" collapsed="false">
      <c r="A1224" s="27" t="n">
        <v>2025</v>
      </c>
      <c r="B1224" s="27" t="n">
        <v>1</v>
      </c>
      <c r="C1224" s="27" t="s">
        <v>40</v>
      </c>
      <c r="D1224" s="27" t="s">
        <v>22</v>
      </c>
      <c r="E1224" s="27" t="s">
        <v>54</v>
      </c>
      <c r="F1224" s="28" t="n">
        <v>2188</v>
      </c>
      <c r="G1224" s="29" t="n">
        <v>2490</v>
      </c>
      <c r="H1224" s="29" t="n">
        <f aca="false">F1224*G1224</f>
        <v>5448120</v>
      </c>
    </row>
    <row r="1225" customFormat="false" ht="15" hidden="false" customHeight="false" outlineLevel="0" collapsed="false">
      <c r="A1225" s="27" t="n">
        <v>2025</v>
      </c>
      <c r="B1225" s="27" t="n">
        <v>1</v>
      </c>
      <c r="C1225" s="27" t="s">
        <v>40</v>
      </c>
      <c r="D1225" s="27" t="s">
        <v>22</v>
      </c>
      <c r="E1225" s="27" t="s">
        <v>56</v>
      </c>
      <c r="F1225" s="28" t="n">
        <v>2449</v>
      </c>
      <c r="G1225" s="29" t="n">
        <v>2420</v>
      </c>
      <c r="H1225" s="29" t="n">
        <f aca="false">F1225*G1225</f>
        <v>5926580</v>
      </c>
    </row>
    <row r="1226" customFormat="false" ht="15" hidden="false" customHeight="false" outlineLevel="0" collapsed="false">
      <c r="A1226" s="27" t="n">
        <v>2025</v>
      </c>
      <c r="B1226" s="27" t="n">
        <v>1</v>
      </c>
      <c r="C1226" s="27" t="s">
        <v>40</v>
      </c>
      <c r="D1226" s="27" t="s">
        <v>22</v>
      </c>
      <c r="E1226" s="27" t="s">
        <v>58</v>
      </c>
      <c r="F1226" s="28" t="n">
        <v>1773</v>
      </c>
      <c r="G1226" s="29" t="n">
        <v>2450</v>
      </c>
      <c r="H1226" s="29" t="n">
        <f aca="false">F1226*G1226</f>
        <v>4343850</v>
      </c>
    </row>
    <row r="1227" customFormat="false" ht="15" hidden="false" customHeight="false" outlineLevel="0" collapsed="false">
      <c r="A1227" s="27" t="n">
        <v>2025</v>
      </c>
      <c r="B1227" s="27" t="n">
        <v>1</v>
      </c>
      <c r="C1227" s="27" t="s">
        <v>40</v>
      </c>
      <c r="D1227" s="27" t="s">
        <v>24</v>
      </c>
      <c r="E1227" s="27" t="s">
        <v>50</v>
      </c>
      <c r="F1227" s="28" t="n">
        <v>2368</v>
      </c>
      <c r="G1227" s="29" t="n">
        <v>2250</v>
      </c>
      <c r="H1227" s="29" t="n">
        <f aca="false">F1227*G1227</f>
        <v>5328000</v>
      </c>
    </row>
    <row r="1228" customFormat="false" ht="15" hidden="false" customHeight="false" outlineLevel="0" collapsed="false">
      <c r="A1228" s="27" t="n">
        <v>2025</v>
      </c>
      <c r="B1228" s="27" t="n">
        <v>1</v>
      </c>
      <c r="C1228" s="27" t="s">
        <v>40</v>
      </c>
      <c r="D1228" s="27" t="s">
        <v>24</v>
      </c>
      <c r="E1228" s="27" t="s">
        <v>52</v>
      </c>
      <c r="F1228" s="28" t="n">
        <v>1562</v>
      </c>
      <c r="G1228" s="29" t="n">
        <v>2240</v>
      </c>
      <c r="H1228" s="29" t="n">
        <f aca="false">F1228*G1228</f>
        <v>3498880</v>
      </c>
    </row>
    <row r="1229" customFormat="false" ht="15" hidden="false" customHeight="false" outlineLevel="0" collapsed="false">
      <c r="A1229" s="27" t="n">
        <v>2025</v>
      </c>
      <c r="B1229" s="27" t="n">
        <v>1</v>
      </c>
      <c r="C1229" s="27" t="s">
        <v>40</v>
      </c>
      <c r="D1229" s="27" t="s">
        <v>24</v>
      </c>
      <c r="E1229" s="27" t="s">
        <v>54</v>
      </c>
      <c r="F1229" s="28" t="n">
        <v>1192</v>
      </c>
      <c r="G1229" s="29" t="n">
        <v>2260</v>
      </c>
      <c r="H1229" s="29" t="n">
        <f aca="false">F1229*G1229</f>
        <v>2693920</v>
      </c>
    </row>
    <row r="1230" customFormat="false" ht="15" hidden="false" customHeight="false" outlineLevel="0" collapsed="false">
      <c r="A1230" s="27" t="n">
        <v>2025</v>
      </c>
      <c r="B1230" s="27" t="n">
        <v>1</v>
      </c>
      <c r="C1230" s="27" t="s">
        <v>40</v>
      </c>
      <c r="D1230" s="27" t="s">
        <v>24</v>
      </c>
      <c r="E1230" s="27" t="s">
        <v>56</v>
      </c>
      <c r="F1230" s="28" t="n">
        <v>1517</v>
      </c>
      <c r="G1230" s="29" t="n">
        <v>2240</v>
      </c>
      <c r="H1230" s="29" t="n">
        <f aca="false">F1230*G1230</f>
        <v>3398080</v>
      </c>
    </row>
    <row r="1231" customFormat="false" ht="15" hidden="false" customHeight="false" outlineLevel="0" collapsed="false">
      <c r="A1231" s="27" t="n">
        <v>2025</v>
      </c>
      <c r="B1231" s="27" t="n">
        <v>1</v>
      </c>
      <c r="C1231" s="27" t="s">
        <v>40</v>
      </c>
      <c r="D1231" s="27" t="s">
        <v>24</v>
      </c>
      <c r="E1231" s="27" t="s">
        <v>58</v>
      </c>
      <c r="F1231" s="28" t="n">
        <v>898</v>
      </c>
      <c r="G1231" s="29" t="n">
        <v>2210</v>
      </c>
      <c r="H1231" s="29" t="n">
        <f aca="false">F1231*G1231</f>
        <v>1984580</v>
      </c>
    </row>
    <row r="1232" customFormat="false" ht="15" hidden="false" customHeight="false" outlineLevel="0" collapsed="false">
      <c r="A1232" s="27" t="n">
        <v>2025</v>
      </c>
      <c r="B1232" s="27" t="n">
        <v>1</v>
      </c>
      <c r="C1232" s="27" t="s">
        <v>40</v>
      </c>
      <c r="D1232" s="27" t="s">
        <v>26</v>
      </c>
      <c r="E1232" s="27" t="s">
        <v>50</v>
      </c>
      <c r="F1232" s="28" t="n">
        <v>1161</v>
      </c>
      <c r="G1232" s="29" t="n">
        <v>2680</v>
      </c>
      <c r="H1232" s="29" t="n">
        <f aca="false">F1232*G1232</f>
        <v>3111480</v>
      </c>
    </row>
    <row r="1233" customFormat="false" ht="15" hidden="false" customHeight="false" outlineLevel="0" collapsed="false">
      <c r="A1233" s="27" t="n">
        <v>2025</v>
      </c>
      <c r="B1233" s="27" t="n">
        <v>1</v>
      </c>
      <c r="C1233" s="27" t="s">
        <v>40</v>
      </c>
      <c r="D1233" s="27" t="s">
        <v>26</v>
      </c>
      <c r="E1233" s="27" t="s">
        <v>52</v>
      </c>
      <c r="F1233" s="28" t="n">
        <v>769</v>
      </c>
      <c r="G1233" s="29" t="n">
        <v>2690</v>
      </c>
      <c r="H1233" s="29" t="n">
        <f aca="false">F1233*G1233</f>
        <v>2068610</v>
      </c>
    </row>
    <row r="1234" customFormat="false" ht="15" hidden="false" customHeight="false" outlineLevel="0" collapsed="false">
      <c r="A1234" s="27" t="n">
        <v>2025</v>
      </c>
      <c r="B1234" s="27" t="n">
        <v>1</v>
      </c>
      <c r="C1234" s="27" t="s">
        <v>40</v>
      </c>
      <c r="D1234" s="27" t="s">
        <v>26</v>
      </c>
      <c r="E1234" s="27" t="s">
        <v>54</v>
      </c>
      <c r="F1234" s="28" t="n">
        <v>598</v>
      </c>
      <c r="G1234" s="29" t="n">
        <v>2700</v>
      </c>
      <c r="H1234" s="29" t="n">
        <f aca="false">F1234*G1234</f>
        <v>1614600</v>
      </c>
    </row>
    <row r="1235" customFormat="false" ht="15" hidden="false" customHeight="false" outlineLevel="0" collapsed="false">
      <c r="A1235" s="27" t="n">
        <v>2025</v>
      </c>
      <c r="B1235" s="27" t="n">
        <v>1</v>
      </c>
      <c r="C1235" s="27" t="s">
        <v>40</v>
      </c>
      <c r="D1235" s="27" t="s">
        <v>26</v>
      </c>
      <c r="E1235" s="27" t="s">
        <v>56</v>
      </c>
      <c r="F1235" s="28" t="n">
        <v>720</v>
      </c>
      <c r="G1235" s="29" t="n">
        <v>2750</v>
      </c>
      <c r="H1235" s="29" t="n">
        <f aca="false">F1235*G1235</f>
        <v>1980000</v>
      </c>
    </row>
    <row r="1236" customFormat="false" ht="15" hidden="false" customHeight="false" outlineLevel="0" collapsed="false">
      <c r="A1236" s="27" t="n">
        <v>2025</v>
      </c>
      <c r="B1236" s="27" t="n">
        <v>1</v>
      </c>
      <c r="C1236" s="27" t="s">
        <v>40</v>
      </c>
      <c r="D1236" s="27" t="s">
        <v>26</v>
      </c>
      <c r="E1236" s="27" t="s">
        <v>58</v>
      </c>
      <c r="F1236" s="28" t="n">
        <v>520</v>
      </c>
      <c r="G1236" s="29" t="n">
        <v>2720</v>
      </c>
      <c r="H1236" s="29" t="n">
        <f aca="false">F1236*G1236</f>
        <v>1414400</v>
      </c>
    </row>
    <row r="1237" customFormat="false" ht="15" hidden="false" customHeight="false" outlineLevel="0" collapsed="false">
      <c r="A1237" s="27" t="n">
        <v>2025</v>
      </c>
      <c r="B1237" s="27" t="n">
        <v>1</v>
      </c>
      <c r="C1237" s="27" t="s">
        <v>40</v>
      </c>
      <c r="D1237" s="27" t="s">
        <v>28</v>
      </c>
      <c r="E1237" s="27" t="s">
        <v>50</v>
      </c>
      <c r="F1237" s="28" t="n">
        <v>571</v>
      </c>
      <c r="G1237" s="29" t="n">
        <v>2540</v>
      </c>
      <c r="H1237" s="29" t="n">
        <f aca="false">F1237*G1237</f>
        <v>1450340</v>
      </c>
    </row>
    <row r="1238" customFormat="false" ht="15" hidden="false" customHeight="false" outlineLevel="0" collapsed="false">
      <c r="A1238" s="27" t="n">
        <v>2025</v>
      </c>
      <c r="B1238" s="27" t="n">
        <v>1</v>
      </c>
      <c r="C1238" s="27" t="s">
        <v>40</v>
      </c>
      <c r="D1238" s="27" t="s">
        <v>28</v>
      </c>
      <c r="E1238" s="27" t="s">
        <v>52</v>
      </c>
      <c r="F1238" s="28" t="n">
        <v>372</v>
      </c>
      <c r="G1238" s="29" t="n">
        <v>2560</v>
      </c>
      <c r="H1238" s="29" t="n">
        <f aca="false">F1238*G1238</f>
        <v>952320</v>
      </c>
    </row>
    <row r="1239" customFormat="false" ht="15" hidden="false" customHeight="false" outlineLevel="0" collapsed="false">
      <c r="A1239" s="27" t="n">
        <v>2025</v>
      </c>
      <c r="B1239" s="27" t="n">
        <v>1</v>
      </c>
      <c r="C1239" s="27" t="s">
        <v>40</v>
      </c>
      <c r="D1239" s="27" t="s">
        <v>28</v>
      </c>
      <c r="E1239" s="27" t="s">
        <v>54</v>
      </c>
      <c r="F1239" s="28" t="n">
        <v>279</v>
      </c>
      <c r="G1239" s="29" t="n">
        <v>2550</v>
      </c>
      <c r="H1239" s="29" t="n">
        <f aca="false">F1239*G1239</f>
        <v>711450</v>
      </c>
    </row>
    <row r="1240" customFormat="false" ht="15" hidden="false" customHeight="false" outlineLevel="0" collapsed="false">
      <c r="A1240" s="27" t="n">
        <v>2025</v>
      </c>
      <c r="B1240" s="27" t="n">
        <v>1</v>
      </c>
      <c r="C1240" s="27" t="s">
        <v>40</v>
      </c>
      <c r="D1240" s="27" t="s">
        <v>28</v>
      </c>
      <c r="E1240" s="27" t="s">
        <v>56</v>
      </c>
      <c r="F1240" s="28" t="n">
        <v>312</v>
      </c>
      <c r="G1240" s="29" t="n">
        <v>2550</v>
      </c>
      <c r="H1240" s="29" t="n">
        <f aca="false">F1240*G1240</f>
        <v>795600</v>
      </c>
    </row>
    <row r="1241" customFormat="false" ht="15" hidden="false" customHeight="false" outlineLevel="0" collapsed="false">
      <c r="A1241" s="27" t="n">
        <v>2025</v>
      </c>
      <c r="B1241" s="27" t="n">
        <v>1</v>
      </c>
      <c r="C1241" s="27" t="s">
        <v>40</v>
      </c>
      <c r="D1241" s="27" t="s">
        <v>28</v>
      </c>
      <c r="E1241" s="27" t="s">
        <v>58</v>
      </c>
      <c r="F1241" s="28" t="n">
        <v>247</v>
      </c>
      <c r="G1241" s="29" t="n">
        <v>2540</v>
      </c>
      <c r="H1241" s="29" t="n">
        <f aca="false">F1241*G1241</f>
        <v>627380</v>
      </c>
    </row>
    <row r="1242" customFormat="false" ht="15" hidden="false" customHeight="false" outlineLevel="0" collapsed="false">
      <c r="A1242" s="27" t="n">
        <v>2025</v>
      </c>
      <c r="B1242" s="27" t="n">
        <v>1</v>
      </c>
      <c r="C1242" s="27" t="s">
        <v>42</v>
      </c>
      <c r="D1242" s="27" t="s">
        <v>22</v>
      </c>
      <c r="E1242" s="27" t="s">
        <v>50</v>
      </c>
      <c r="F1242" s="28" t="n">
        <v>5084</v>
      </c>
      <c r="G1242" s="29" t="n">
        <v>2200</v>
      </c>
      <c r="H1242" s="29" t="n">
        <f aca="false">F1242*G1242</f>
        <v>11184800</v>
      </c>
    </row>
    <row r="1243" customFormat="false" ht="15" hidden="false" customHeight="false" outlineLevel="0" collapsed="false">
      <c r="A1243" s="27" t="n">
        <v>2025</v>
      </c>
      <c r="B1243" s="27" t="n">
        <v>1</v>
      </c>
      <c r="C1243" s="27" t="s">
        <v>42</v>
      </c>
      <c r="D1243" s="27" t="s">
        <v>22</v>
      </c>
      <c r="E1243" s="27" t="s">
        <v>52</v>
      </c>
      <c r="F1243" s="28" t="n">
        <v>2945</v>
      </c>
      <c r="G1243" s="29" t="n">
        <v>2210</v>
      </c>
      <c r="H1243" s="29" t="n">
        <f aca="false">F1243*G1243</f>
        <v>6508450</v>
      </c>
    </row>
    <row r="1244" customFormat="false" ht="15" hidden="false" customHeight="false" outlineLevel="0" collapsed="false">
      <c r="A1244" s="27" t="n">
        <v>2025</v>
      </c>
      <c r="B1244" s="27" t="n">
        <v>1</v>
      </c>
      <c r="C1244" s="27" t="s">
        <v>42</v>
      </c>
      <c r="D1244" s="27" t="s">
        <v>22</v>
      </c>
      <c r="E1244" s="27" t="s">
        <v>54</v>
      </c>
      <c r="F1244" s="28" t="n">
        <v>2319</v>
      </c>
      <c r="G1244" s="29" t="n">
        <v>2210</v>
      </c>
      <c r="H1244" s="29" t="n">
        <f aca="false">F1244*G1244</f>
        <v>5124990</v>
      </c>
    </row>
    <row r="1245" customFormat="false" ht="15" hidden="false" customHeight="false" outlineLevel="0" collapsed="false">
      <c r="A1245" s="27" t="n">
        <v>2025</v>
      </c>
      <c r="B1245" s="27" t="n">
        <v>1</v>
      </c>
      <c r="C1245" s="27" t="s">
        <v>42</v>
      </c>
      <c r="D1245" s="27" t="s">
        <v>22</v>
      </c>
      <c r="E1245" s="27" t="s">
        <v>56</v>
      </c>
      <c r="F1245" s="28" t="n">
        <v>2782</v>
      </c>
      <c r="G1245" s="29" t="n">
        <v>2230</v>
      </c>
      <c r="H1245" s="29" t="n">
        <f aca="false">F1245*G1245</f>
        <v>6203860</v>
      </c>
    </row>
    <row r="1246" customFormat="false" ht="15" hidden="false" customHeight="false" outlineLevel="0" collapsed="false">
      <c r="A1246" s="27" t="n">
        <v>2025</v>
      </c>
      <c r="B1246" s="27" t="n">
        <v>1</v>
      </c>
      <c r="C1246" s="27" t="s">
        <v>42</v>
      </c>
      <c r="D1246" s="27" t="s">
        <v>22</v>
      </c>
      <c r="E1246" s="27" t="s">
        <v>58</v>
      </c>
      <c r="F1246" s="28" t="n">
        <v>2024</v>
      </c>
      <c r="G1246" s="29" t="n">
        <v>2220</v>
      </c>
      <c r="H1246" s="29" t="n">
        <f aca="false">F1246*G1246</f>
        <v>4493280</v>
      </c>
    </row>
    <row r="1247" customFormat="false" ht="15" hidden="false" customHeight="false" outlineLevel="0" collapsed="false">
      <c r="A1247" s="27" t="n">
        <v>2025</v>
      </c>
      <c r="B1247" s="27" t="n">
        <v>1</v>
      </c>
      <c r="C1247" s="27" t="s">
        <v>42</v>
      </c>
      <c r="D1247" s="27" t="s">
        <v>24</v>
      </c>
      <c r="E1247" s="27" t="s">
        <v>50</v>
      </c>
      <c r="F1247" s="28" t="n">
        <v>2808</v>
      </c>
      <c r="G1247" s="29" t="n">
        <v>2050</v>
      </c>
      <c r="H1247" s="29" t="n">
        <f aca="false">F1247*G1247</f>
        <v>5756400</v>
      </c>
    </row>
    <row r="1248" customFormat="false" ht="15" hidden="false" customHeight="false" outlineLevel="0" collapsed="false">
      <c r="A1248" s="27" t="n">
        <v>2025</v>
      </c>
      <c r="B1248" s="27" t="n">
        <v>1</v>
      </c>
      <c r="C1248" s="27" t="s">
        <v>42</v>
      </c>
      <c r="D1248" s="27" t="s">
        <v>24</v>
      </c>
      <c r="E1248" s="27" t="s">
        <v>52</v>
      </c>
      <c r="F1248" s="28" t="n">
        <v>1751</v>
      </c>
      <c r="G1248" s="29" t="n">
        <v>2040</v>
      </c>
      <c r="H1248" s="29" t="n">
        <f aca="false">F1248*G1248</f>
        <v>3572040</v>
      </c>
    </row>
    <row r="1249" customFormat="false" ht="15" hidden="false" customHeight="false" outlineLevel="0" collapsed="false">
      <c r="A1249" s="27" t="n">
        <v>2025</v>
      </c>
      <c r="B1249" s="27" t="n">
        <v>1</v>
      </c>
      <c r="C1249" s="27" t="s">
        <v>42</v>
      </c>
      <c r="D1249" s="27" t="s">
        <v>24</v>
      </c>
      <c r="E1249" s="27" t="s">
        <v>54</v>
      </c>
      <c r="F1249" s="28" t="n">
        <v>1423</v>
      </c>
      <c r="G1249" s="29" t="n">
        <v>2110</v>
      </c>
      <c r="H1249" s="29" t="n">
        <f aca="false">F1249*G1249</f>
        <v>3002530</v>
      </c>
    </row>
    <row r="1250" customFormat="false" ht="15" hidden="false" customHeight="false" outlineLevel="0" collapsed="false">
      <c r="A1250" s="27" t="n">
        <v>2025</v>
      </c>
      <c r="B1250" s="27" t="n">
        <v>1</v>
      </c>
      <c r="C1250" s="27" t="s">
        <v>42</v>
      </c>
      <c r="D1250" s="27" t="s">
        <v>24</v>
      </c>
      <c r="E1250" s="27" t="s">
        <v>56</v>
      </c>
      <c r="F1250" s="28" t="n">
        <v>1592</v>
      </c>
      <c r="G1250" s="29" t="n">
        <v>2020</v>
      </c>
      <c r="H1250" s="29" t="n">
        <f aca="false">F1250*G1250</f>
        <v>3215840</v>
      </c>
    </row>
    <row r="1251" customFormat="false" ht="15" hidden="false" customHeight="false" outlineLevel="0" collapsed="false">
      <c r="A1251" s="27" t="n">
        <v>2025</v>
      </c>
      <c r="B1251" s="27" t="n">
        <v>1</v>
      </c>
      <c r="C1251" s="27" t="s">
        <v>42</v>
      </c>
      <c r="D1251" s="27" t="s">
        <v>24</v>
      </c>
      <c r="E1251" s="27" t="s">
        <v>58</v>
      </c>
      <c r="F1251" s="28" t="n">
        <v>1066</v>
      </c>
      <c r="G1251" s="29" t="n">
        <v>2090</v>
      </c>
      <c r="H1251" s="29" t="n">
        <f aca="false">F1251*G1251</f>
        <v>2227940</v>
      </c>
    </row>
    <row r="1252" customFormat="false" ht="15" hidden="false" customHeight="false" outlineLevel="0" collapsed="false">
      <c r="A1252" s="27" t="n">
        <v>2025</v>
      </c>
      <c r="B1252" s="27" t="n">
        <v>1</v>
      </c>
      <c r="C1252" s="27" t="s">
        <v>42</v>
      </c>
      <c r="D1252" s="27" t="s">
        <v>26</v>
      </c>
      <c r="E1252" s="27" t="s">
        <v>50</v>
      </c>
      <c r="F1252" s="28" t="n">
        <v>1412</v>
      </c>
      <c r="G1252" s="29" t="n">
        <v>2490</v>
      </c>
      <c r="H1252" s="29" t="n">
        <f aca="false">F1252*G1252</f>
        <v>3515880</v>
      </c>
    </row>
    <row r="1253" customFormat="false" ht="15" hidden="false" customHeight="false" outlineLevel="0" collapsed="false">
      <c r="A1253" s="27" t="n">
        <v>2025</v>
      </c>
      <c r="B1253" s="27" t="n">
        <v>1</v>
      </c>
      <c r="C1253" s="27" t="s">
        <v>42</v>
      </c>
      <c r="D1253" s="27" t="s">
        <v>26</v>
      </c>
      <c r="E1253" s="27" t="s">
        <v>52</v>
      </c>
      <c r="F1253" s="28" t="n">
        <v>902</v>
      </c>
      <c r="G1253" s="29" t="n">
        <v>2490</v>
      </c>
      <c r="H1253" s="29" t="n">
        <f aca="false">F1253*G1253</f>
        <v>2245980</v>
      </c>
    </row>
    <row r="1254" customFormat="false" ht="15" hidden="false" customHeight="false" outlineLevel="0" collapsed="false">
      <c r="A1254" s="27" t="n">
        <v>2025</v>
      </c>
      <c r="B1254" s="27" t="n">
        <v>1</v>
      </c>
      <c r="C1254" s="27" t="s">
        <v>42</v>
      </c>
      <c r="D1254" s="27" t="s">
        <v>26</v>
      </c>
      <c r="E1254" s="27" t="s">
        <v>54</v>
      </c>
      <c r="F1254" s="28" t="n">
        <v>729</v>
      </c>
      <c r="G1254" s="29" t="n">
        <v>2500</v>
      </c>
      <c r="H1254" s="29" t="n">
        <f aca="false">F1254*G1254</f>
        <v>1822500</v>
      </c>
    </row>
    <row r="1255" customFormat="false" ht="15" hidden="false" customHeight="false" outlineLevel="0" collapsed="false">
      <c r="A1255" s="27" t="n">
        <v>2025</v>
      </c>
      <c r="B1255" s="27" t="n">
        <v>1</v>
      </c>
      <c r="C1255" s="27" t="s">
        <v>42</v>
      </c>
      <c r="D1255" s="27" t="s">
        <v>26</v>
      </c>
      <c r="E1255" s="27" t="s">
        <v>56</v>
      </c>
      <c r="F1255" s="28" t="n">
        <v>878</v>
      </c>
      <c r="G1255" s="29" t="n">
        <v>2490</v>
      </c>
      <c r="H1255" s="29" t="n">
        <f aca="false">F1255*G1255</f>
        <v>2186220</v>
      </c>
    </row>
    <row r="1256" customFormat="false" ht="15" hidden="false" customHeight="false" outlineLevel="0" collapsed="false">
      <c r="A1256" s="27" t="n">
        <v>2025</v>
      </c>
      <c r="B1256" s="27" t="n">
        <v>1</v>
      </c>
      <c r="C1256" s="27" t="s">
        <v>42</v>
      </c>
      <c r="D1256" s="27" t="s">
        <v>26</v>
      </c>
      <c r="E1256" s="27" t="s">
        <v>58</v>
      </c>
      <c r="F1256" s="28" t="n">
        <v>584</v>
      </c>
      <c r="G1256" s="29" t="n">
        <v>2470</v>
      </c>
      <c r="H1256" s="29" t="n">
        <f aca="false">F1256*G1256</f>
        <v>1442480</v>
      </c>
    </row>
    <row r="1257" customFormat="false" ht="15" hidden="false" customHeight="false" outlineLevel="0" collapsed="false">
      <c r="A1257" s="27" t="n">
        <v>2025</v>
      </c>
      <c r="B1257" s="27" t="n">
        <v>1</v>
      </c>
      <c r="C1257" s="27" t="s">
        <v>42</v>
      </c>
      <c r="D1257" s="27" t="s">
        <v>28</v>
      </c>
      <c r="E1257" s="27" t="s">
        <v>50</v>
      </c>
      <c r="F1257" s="28" t="n">
        <v>629</v>
      </c>
      <c r="G1257" s="29" t="n">
        <v>2370</v>
      </c>
      <c r="H1257" s="29" t="n">
        <f aca="false">F1257*G1257</f>
        <v>1490730</v>
      </c>
    </row>
    <row r="1258" customFormat="false" ht="15" hidden="false" customHeight="false" outlineLevel="0" collapsed="false">
      <c r="A1258" s="27" t="n">
        <v>2025</v>
      </c>
      <c r="B1258" s="27" t="n">
        <v>1</v>
      </c>
      <c r="C1258" s="27" t="s">
        <v>42</v>
      </c>
      <c r="D1258" s="27" t="s">
        <v>28</v>
      </c>
      <c r="E1258" s="27" t="s">
        <v>52</v>
      </c>
      <c r="F1258" s="28" t="n">
        <v>410</v>
      </c>
      <c r="G1258" s="29" t="n">
        <v>2340</v>
      </c>
      <c r="H1258" s="29" t="n">
        <f aca="false">F1258*G1258</f>
        <v>959400</v>
      </c>
    </row>
    <row r="1259" customFormat="false" ht="15" hidden="false" customHeight="false" outlineLevel="0" collapsed="false">
      <c r="A1259" s="27" t="n">
        <v>2025</v>
      </c>
      <c r="B1259" s="27" t="n">
        <v>1</v>
      </c>
      <c r="C1259" s="27" t="s">
        <v>42</v>
      </c>
      <c r="D1259" s="27" t="s">
        <v>28</v>
      </c>
      <c r="E1259" s="27" t="s">
        <v>54</v>
      </c>
      <c r="F1259" s="28" t="n">
        <v>326</v>
      </c>
      <c r="G1259" s="29" t="n">
        <v>2310</v>
      </c>
      <c r="H1259" s="29" t="n">
        <f aca="false">F1259*G1259</f>
        <v>753060</v>
      </c>
    </row>
    <row r="1260" customFormat="false" ht="15" hidden="false" customHeight="false" outlineLevel="0" collapsed="false">
      <c r="A1260" s="27" t="n">
        <v>2025</v>
      </c>
      <c r="B1260" s="27" t="n">
        <v>1</v>
      </c>
      <c r="C1260" s="27" t="s">
        <v>42</v>
      </c>
      <c r="D1260" s="27" t="s">
        <v>28</v>
      </c>
      <c r="E1260" s="27" t="s">
        <v>56</v>
      </c>
      <c r="F1260" s="28" t="n">
        <v>385</v>
      </c>
      <c r="G1260" s="29" t="n">
        <v>2360</v>
      </c>
      <c r="H1260" s="29" t="n">
        <f aca="false">F1260*G1260</f>
        <v>908600</v>
      </c>
    </row>
    <row r="1261" customFormat="false" ht="15" hidden="false" customHeight="false" outlineLevel="0" collapsed="false">
      <c r="A1261" s="27" t="n">
        <v>2025</v>
      </c>
      <c r="B1261" s="27" t="n">
        <v>1</v>
      </c>
      <c r="C1261" s="27" t="s">
        <v>42</v>
      </c>
      <c r="D1261" s="27" t="s">
        <v>28</v>
      </c>
      <c r="E1261" s="27" t="s">
        <v>58</v>
      </c>
      <c r="F1261" s="28" t="n">
        <v>271</v>
      </c>
      <c r="G1261" s="29" t="n">
        <v>2290</v>
      </c>
      <c r="H1261" s="29" t="n">
        <f aca="false">F1261*G1261</f>
        <v>620590</v>
      </c>
    </row>
    <row r="1262" customFormat="false" ht="15" hidden="false" customHeight="false" outlineLevel="0" collapsed="false">
      <c r="A1262" s="27" t="n">
        <v>2025</v>
      </c>
      <c r="B1262" s="27" t="n">
        <v>1</v>
      </c>
      <c r="C1262" s="27" t="s">
        <v>44</v>
      </c>
      <c r="D1262" s="27" t="s">
        <v>22</v>
      </c>
      <c r="E1262" s="27" t="s">
        <v>50</v>
      </c>
      <c r="F1262" s="28" t="n">
        <v>3114</v>
      </c>
      <c r="G1262" s="29" t="n">
        <v>4190</v>
      </c>
      <c r="H1262" s="29" t="n">
        <f aca="false">F1262*G1262</f>
        <v>13047660</v>
      </c>
    </row>
    <row r="1263" customFormat="false" ht="15" hidden="false" customHeight="false" outlineLevel="0" collapsed="false">
      <c r="A1263" s="27" t="n">
        <v>2025</v>
      </c>
      <c r="B1263" s="27" t="n">
        <v>1</v>
      </c>
      <c r="C1263" s="27" t="s">
        <v>44</v>
      </c>
      <c r="D1263" s="27" t="s">
        <v>22</v>
      </c>
      <c r="E1263" s="27" t="s">
        <v>52</v>
      </c>
      <c r="F1263" s="28" t="n">
        <v>1946</v>
      </c>
      <c r="G1263" s="29" t="n">
        <v>4040</v>
      </c>
      <c r="H1263" s="29" t="n">
        <f aca="false">F1263*G1263</f>
        <v>7861840</v>
      </c>
    </row>
    <row r="1264" customFormat="false" ht="15" hidden="false" customHeight="false" outlineLevel="0" collapsed="false">
      <c r="A1264" s="27" t="n">
        <v>2025</v>
      </c>
      <c r="B1264" s="27" t="n">
        <v>1</v>
      </c>
      <c r="C1264" s="27" t="s">
        <v>44</v>
      </c>
      <c r="D1264" s="27" t="s">
        <v>22</v>
      </c>
      <c r="E1264" s="27" t="s">
        <v>54</v>
      </c>
      <c r="F1264" s="28" t="n">
        <v>1723</v>
      </c>
      <c r="G1264" s="29" t="n">
        <v>4140</v>
      </c>
      <c r="H1264" s="29" t="n">
        <f aca="false">F1264*G1264</f>
        <v>7133220</v>
      </c>
    </row>
    <row r="1265" customFormat="false" ht="15" hidden="false" customHeight="false" outlineLevel="0" collapsed="false">
      <c r="A1265" s="27" t="n">
        <v>2025</v>
      </c>
      <c r="B1265" s="27" t="n">
        <v>1</v>
      </c>
      <c r="C1265" s="27" t="s">
        <v>44</v>
      </c>
      <c r="D1265" s="27" t="s">
        <v>22</v>
      </c>
      <c r="E1265" s="27" t="s">
        <v>56</v>
      </c>
      <c r="F1265" s="28" t="n">
        <v>1862</v>
      </c>
      <c r="G1265" s="29" t="n">
        <v>4100</v>
      </c>
      <c r="H1265" s="29" t="n">
        <f aca="false">F1265*G1265</f>
        <v>7634200</v>
      </c>
    </row>
    <row r="1266" customFormat="false" ht="15" hidden="false" customHeight="false" outlineLevel="0" collapsed="false">
      <c r="A1266" s="27" t="n">
        <v>2025</v>
      </c>
      <c r="B1266" s="27" t="n">
        <v>1</v>
      </c>
      <c r="C1266" s="27" t="s">
        <v>44</v>
      </c>
      <c r="D1266" s="27" t="s">
        <v>22</v>
      </c>
      <c r="E1266" s="27" t="s">
        <v>58</v>
      </c>
      <c r="F1266" s="28" t="n">
        <v>1348</v>
      </c>
      <c r="G1266" s="29" t="n">
        <v>4090</v>
      </c>
      <c r="H1266" s="29" t="n">
        <f aca="false">F1266*G1266</f>
        <v>5513320</v>
      </c>
    </row>
    <row r="1267" customFormat="false" ht="15" hidden="false" customHeight="false" outlineLevel="0" collapsed="false">
      <c r="A1267" s="27" t="n">
        <v>2025</v>
      </c>
      <c r="B1267" s="27" t="n">
        <v>1</v>
      </c>
      <c r="C1267" s="27" t="s">
        <v>44</v>
      </c>
      <c r="D1267" s="27" t="s">
        <v>24</v>
      </c>
      <c r="E1267" s="27" t="s">
        <v>50</v>
      </c>
      <c r="F1267" s="28" t="n">
        <v>1927</v>
      </c>
      <c r="G1267" s="29" t="n">
        <v>3850</v>
      </c>
      <c r="H1267" s="29" t="n">
        <f aca="false">F1267*G1267</f>
        <v>7418950</v>
      </c>
    </row>
    <row r="1268" customFormat="false" ht="15" hidden="false" customHeight="false" outlineLevel="0" collapsed="false">
      <c r="A1268" s="27" t="n">
        <v>2025</v>
      </c>
      <c r="B1268" s="27" t="n">
        <v>1</v>
      </c>
      <c r="C1268" s="27" t="s">
        <v>44</v>
      </c>
      <c r="D1268" s="27" t="s">
        <v>24</v>
      </c>
      <c r="E1268" s="27" t="s">
        <v>52</v>
      </c>
      <c r="F1268" s="28" t="n">
        <v>1153</v>
      </c>
      <c r="G1268" s="29" t="n">
        <v>3830</v>
      </c>
      <c r="H1268" s="29" t="n">
        <f aca="false">F1268*G1268</f>
        <v>4415990</v>
      </c>
    </row>
    <row r="1269" customFormat="false" ht="15" hidden="false" customHeight="false" outlineLevel="0" collapsed="false">
      <c r="A1269" s="27" t="n">
        <v>2025</v>
      </c>
      <c r="B1269" s="27" t="n">
        <v>1</v>
      </c>
      <c r="C1269" s="27" t="s">
        <v>44</v>
      </c>
      <c r="D1269" s="27" t="s">
        <v>24</v>
      </c>
      <c r="E1269" s="27" t="s">
        <v>54</v>
      </c>
      <c r="F1269" s="28" t="n">
        <v>903</v>
      </c>
      <c r="G1269" s="29" t="n">
        <v>3870</v>
      </c>
      <c r="H1269" s="29" t="n">
        <f aca="false">F1269*G1269</f>
        <v>3494610</v>
      </c>
    </row>
    <row r="1270" customFormat="false" ht="15" hidden="false" customHeight="false" outlineLevel="0" collapsed="false">
      <c r="A1270" s="27" t="n">
        <v>2025</v>
      </c>
      <c r="B1270" s="27" t="n">
        <v>1</v>
      </c>
      <c r="C1270" s="27" t="s">
        <v>44</v>
      </c>
      <c r="D1270" s="27" t="s">
        <v>24</v>
      </c>
      <c r="E1270" s="27" t="s">
        <v>56</v>
      </c>
      <c r="F1270" s="28" t="n">
        <v>1035</v>
      </c>
      <c r="G1270" s="29" t="n">
        <v>3760</v>
      </c>
      <c r="H1270" s="29" t="n">
        <f aca="false">F1270*G1270</f>
        <v>3891600</v>
      </c>
    </row>
    <row r="1271" customFormat="false" ht="15" hidden="false" customHeight="false" outlineLevel="0" collapsed="false">
      <c r="A1271" s="27" t="n">
        <v>2025</v>
      </c>
      <c r="B1271" s="27" t="n">
        <v>1</v>
      </c>
      <c r="C1271" s="27" t="s">
        <v>44</v>
      </c>
      <c r="D1271" s="27" t="s">
        <v>24</v>
      </c>
      <c r="E1271" s="27" t="s">
        <v>58</v>
      </c>
      <c r="F1271" s="28" t="n">
        <v>763</v>
      </c>
      <c r="G1271" s="29" t="n">
        <v>3850</v>
      </c>
      <c r="H1271" s="29" t="n">
        <f aca="false">F1271*G1271</f>
        <v>2937550</v>
      </c>
    </row>
    <row r="1272" customFormat="false" ht="15" hidden="false" customHeight="false" outlineLevel="0" collapsed="false">
      <c r="A1272" s="27" t="n">
        <v>2025</v>
      </c>
      <c r="B1272" s="27" t="n">
        <v>1</v>
      </c>
      <c r="C1272" s="27" t="s">
        <v>44</v>
      </c>
      <c r="D1272" s="27" t="s">
        <v>26</v>
      </c>
      <c r="E1272" s="27" t="s">
        <v>50</v>
      </c>
      <c r="F1272" s="28" t="n">
        <v>950</v>
      </c>
      <c r="G1272" s="29" t="n">
        <v>4630</v>
      </c>
      <c r="H1272" s="29" t="n">
        <f aca="false">F1272*G1272</f>
        <v>4398500</v>
      </c>
    </row>
    <row r="1273" customFormat="false" ht="15" hidden="false" customHeight="false" outlineLevel="0" collapsed="false">
      <c r="A1273" s="27" t="n">
        <v>2025</v>
      </c>
      <c r="B1273" s="27" t="n">
        <v>1</v>
      </c>
      <c r="C1273" s="27" t="s">
        <v>44</v>
      </c>
      <c r="D1273" s="27" t="s">
        <v>26</v>
      </c>
      <c r="E1273" s="27" t="s">
        <v>52</v>
      </c>
      <c r="F1273" s="28" t="n">
        <v>571</v>
      </c>
      <c r="G1273" s="29" t="n">
        <v>4640</v>
      </c>
      <c r="H1273" s="29" t="n">
        <f aca="false">F1273*G1273</f>
        <v>2649440</v>
      </c>
    </row>
    <row r="1274" customFormat="false" ht="15" hidden="false" customHeight="false" outlineLevel="0" collapsed="false">
      <c r="A1274" s="27" t="n">
        <v>2025</v>
      </c>
      <c r="B1274" s="27" t="n">
        <v>1</v>
      </c>
      <c r="C1274" s="27" t="s">
        <v>44</v>
      </c>
      <c r="D1274" s="27" t="s">
        <v>26</v>
      </c>
      <c r="E1274" s="27" t="s">
        <v>54</v>
      </c>
      <c r="F1274" s="28" t="n">
        <v>463</v>
      </c>
      <c r="G1274" s="29" t="n">
        <v>4590</v>
      </c>
      <c r="H1274" s="29" t="n">
        <f aca="false">F1274*G1274</f>
        <v>2125170</v>
      </c>
    </row>
    <row r="1275" customFormat="false" ht="15" hidden="false" customHeight="false" outlineLevel="0" collapsed="false">
      <c r="A1275" s="27" t="n">
        <v>2025</v>
      </c>
      <c r="B1275" s="27" t="n">
        <v>1</v>
      </c>
      <c r="C1275" s="27" t="s">
        <v>44</v>
      </c>
      <c r="D1275" s="27" t="s">
        <v>26</v>
      </c>
      <c r="E1275" s="27" t="s">
        <v>56</v>
      </c>
      <c r="F1275" s="28" t="n">
        <v>542</v>
      </c>
      <c r="G1275" s="29" t="n">
        <v>4700</v>
      </c>
      <c r="H1275" s="29" t="n">
        <f aca="false">F1275*G1275</f>
        <v>2547400</v>
      </c>
    </row>
    <row r="1276" customFormat="false" ht="15" hidden="false" customHeight="false" outlineLevel="0" collapsed="false">
      <c r="A1276" s="27" t="n">
        <v>2025</v>
      </c>
      <c r="B1276" s="27" t="n">
        <v>1</v>
      </c>
      <c r="C1276" s="27" t="s">
        <v>44</v>
      </c>
      <c r="D1276" s="27" t="s">
        <v>26</v>
      </c>
      <c r="E1276" s="27" t="s">
        <v>58</v>
      </c>
      <c r="F1276" s="28" t="n">
        <v>344</v>
      </c>
      <c r="G1276" s="29" t="n">
        <v>4630</v>
      </c>
      <c r="H1276" s="29" t="n">
        <f aca="false">F1276*G1276</f>
        <v>1592720</v>
      </c>
    </row>
    <row r="1277" customFormat="false" ht="15" hidden="false" customHeight="false" outlineLevel="0" collapsed="false">
      <c r="A1277" s="27" t="n">
        <v>2025</v>
      </c>
      <c r="B1277" s="27" t="n">
        <v>1</v>
      </c>
      <c r="C1277" s="27" t="s">
        <v>44</v>
      </c>
      <c r="D1277" s="27" t="s">
        <v>28</v>
      </c>
      <c r="E1277" s="27" t="s">
        <v>50</v>
      </c>
      <c r="F1277" s="28" t="n">
        <v>401</v>
      </c>
      <c r="G1277" s="29" t="n">
        <v>4320</v>
      </c>
      <c r="H1277" s="29" t="n">
        <f aca="false">F1277*G1277</f>
        <v>1732320</v>
      </c>
    </row>
    <row r="1278" customFormat="false" ht="15" hidden="false" customHeight="false" outlineLevel="0" collapsed="false">
      <c r="A1278" s="27" t="n">
        <v>2025</v>
      </c>
      <c r="B1278" s="27" t="n">
        <v>1</v>
      </c>
      <c r="C1278" s="27" t="s">
        <v>44</v>
      </c>
      <c r="D1278" s="27" t="s">
        <v>28</v>
      </c>
      <c r="E1278" s="27" t="s">
        <v>52</v>
      </c>
      <c r="F1278" s="28" t="n">
        <v>268</v>
      </c>
      <c r="G1278" s="29" t="n">
        <v>4230</v>
      </c>
      <c r="H1278" s="29" t="n">
        <f aca="false">F1278*G1278</f>
        <v>1133640</v>
      </c>
    </row>
    <row r="1279" customFormat="false" ht="15" hidden="false" customHeight="false" outlineLevel="0" collapsed="false">
      <c r="A1279" s="27" t="n">
        <v>2025</v>
      </c>
      <c r="B1279" s="27" t="n">
        <v>1</v>
      </c>
      <c r="C1279" s="27" t="s">
        <v>44</v>
      </c>
      <c r="D1279" s="27" t="s">
        <v>28</v>
      </c>
      <c r="E1279" s="27" t="s">
        <v>54</v>
      </c>
      <c r="F1279" s="28" t="n">
        <v>223</v>
      </c>
      <c r="G1279" s="29" t="n">
        <v>4300</v>
      </c>
      <c r="H1279" s="29" t="n">
        <f aca="false">F1279*G1279</f>
        <v>958900</v>
      </c>
    </row>
    <row r="1280" customFormat="false" ht="15" hidden="false" customHeight="false" outlineLevel="0" collapsed="false">
      <c r="A1280" s="27" t="n">
        <v>2025</v>
      </c>
      <c r="B1280" s="27" t="n">
        <v>1</v>
      </c>
      <c r="C1280" s="27" t="s">
        <v>44</v>
      </c>
      <c r="D1280" s="27" t="s">
        <v>28</v>
      </c>
      <c r="E1280" s="27" t="s">
        <v>56</v>
      </c>
      <c r="F1280" s="28" t="n">
        <v>233</v>
      </c>
      <c r="G1280" s="29" t="n">
        <v>4360</v>
      </c>
      <c r="H1280" s="29" t="n">
        <f aca="false">F1280*G1280</f>
        <v>1015880</v>
      </c>
    </row>
    <row r="1281" customFormat="false" ht="15" hidden="false" customHeight="false" outlineLevel="0" collapsed="false">
      <c r="A1281" s="27" t="n">
        <v>2025</v>
      </c>
      <c r="B1281" s="27" t="n">
        <v>1</v>
      </c>
      <c r="C1281" s="27" t="s">
        <v>44</v>
      </c>
      <c r="D1281" s="27" t="s">
        <v>28</v>
      </c>
      <c r="E1281" s="27" t="s">
        <v>58</v>
      </c>
      <c r="F1281" s="28" t="n">
        <v>191</v>
      </c>
      <c r="G1281" s="29" t="n">
        <v>4380</v>
      </c>
      <c r="H1281" s="29" t="n">
        <f aca="false">F1281*G1281</f>
        <v>836580</v>
      </c>
    </row>
    <row r="1282" customFormat="false" ht="15" hidden="false" customHeight="false" outlineLevel="0" collapsed="false">
      <c r="A1282" s="27" t="n">
        <v>2025</v>
      </c>
      <c r="B1282" s="27" t="n">
        <v>1</v>
      </c>
      <c r="C1282" s="27" t="s">
        <v>45</v>
      </c>
      <c r="D1282" s="27" t="s">
        <v>22</v>
      </c>
      <c r="E1282" s="27" t="s">
        <v>50</v>
      </c>
      <c r="F1282" s="28" t="n">
        <v>3286</v>
      </c>
      <c r="G1282" s="29" t="n">
        <v>2530</v>
      </c>
      <c r="H1282" s="29" t="n">
        <f aca="false">F1282*G1282</f>
        <v>8313580</v>
      </c>
    </row>
    <row r="1283" customFormat="false" ht="15" hidden="false" customHeight="false" outlineLevel="0" collapsed="false">
      <c r="A1283" s="27" t="n">
        <v>2025</v>
      </c>
      <c r="B1283" s="27" t="n">
        <v>1</v>
      </c>
      <c r="C1283" s="27" t="s">
        <v>45</v>
      </c>
      <c r="D1283" s="27" t="s">
        <v>22</v>
      </c>
      <c r="E1283" s="27" t="s">
        <v>52</v>
      </c>
      <c r="F1283" s="28" t="n">
        <v>2152</v>
      </c>
      <c r="G1283" s="29" t="n">
        <v>2570</v>
      </c>
      <c r="H1283" s="29" t="n">
        <f aca="false">F1283*G1283</f>
        <v>5530640</v>
      </c>
    </row>
    <row r="1284" customFormat="false" ht="15" hidden="false" customHeight="false" outlineLevel="0" collapsed="false">
      <c r="A1284" s="27" t="n">
        <v>2025</v>
      </c>
      <c r="B1284" s="27" t="n">
        <v>1</v>
      </c>
      <c r="C1284" s="27" t="s">
        <v>45</v>
      </c>
      <c r="D1284" s="27" t="s">
        <v>22</v>
      </c>
      <c r="E1284" s="27" t="s">
        <v>54</v>
      </c>
      <c r="F1284" s="28" t="n">
        <v>1706</v>
      </c>
      <c r="G1284" s="29" t="n">
        <v>2510</v>
      </c>
      <c r="H1284" s="29" t="n">
        <f aca="false">F1284*G1284</f>
        <v>4282060</v>
      </c>
    </row>
    <row r="1285" customFormat="false" ht="15" hidden="false" customHeight="false" outlineLevel="0" collapsed="false">
      <c r="A1285" s="27" t="n">
        <v>2025</v>
      </c>
      <c r="B1285" s="27" t="n">
        <v>1</v>
      </c>
      <c r="C1285" s="27" t="s">
        <v>45</v>
      </c>
      <c r="D1285" s="27" t="s">
        <v>22</v>
      </c>
      <c r="E1285" s="27" t="s">
        <v>56</v>
      </c>
      <c r="F1285" s="28" t="n">
        <v>1936</v>
      </c>
      <c r="G1285" s="29" t="n">
        <v>2540</v>
      </c>
      <c r="H1285" s="29" t="n">
        <f aca="false">F1285*G1285</f>
        <v>4917440</v>
      </c>
    </row>
    <row r="1286" customFormat="false" ht="15" hidden="false" customHeight="false" outlineLevel="0" collapsed="false">
      <c r="A1286" s="27" t="n">
        <v>2025</v>
      </c>
      <c r="B1286" s="27" t="n">
        <v>1</v>
      </c>
      <c r="C1286" s="27" t="s">
        <v>45</v>
      </c>
      <c r="D1286" s="27" t="s">
        <v>22</v>
      </c>
      <c r="E1286" s="27" t="s">
        <v>58</v>
      </c>
      <c r="F1286" s="28" t="n">
        <v>1193</v>
      </c>
      <c r="G1286" s="29" t="n">
        <v>2540</v>
      </c>
      <c r="H1286" s="29" t="n">
        <f aca="false">F1286*G1286</f>
        <v>3030220</v>
      </c>
    </row>
    <row r="1287" customFormat="false" ht="15" hidden="false" customHeight="false" outlineLevel="0" collapsed="false">
      <c r="A1287" s="27" t="n">
        <v>2025</v>
      </c>
      <c r="B1287" s="27" t="n">
        <v>1</v>
      </c>
      <c r="C1287" s="27" t="s">
        <v>45</v>
      </c>
      <c r="D1287" s="27" t="s">
        <v>24</v>
      </c>
      <c r="E1287" s="27" t="s">
        <v>50</v>
      </c>
      <c r="F1287" s="28" t="n">
        <v>2081</v>
      </c>
      <c r="G1287" s="29" t="n">
        <v>2370</v>
      </c>
      <c r="H1287" s="29" t="n">
        <f aca="false">F1287*G1287</f>
        <v>4931970</v>
      </c>
    </row>
    <row r="1288" customFormat="false" ht="15" hidden="false" customHeight="false" outlineLevel="0" collapsed="false">
      <c r="A1288" s="27" t="n">
        <v>2025</v>
      </c>
      <c r="B1288" s="27" t="n">
        <v>1</v>
      </c>
      <c r="C1288" s="27" t="s">
        <v>45</v>
      </c>
      <c r="D1288" s="27" t="s">
        <v>24</v>
      </c>
      <c r="E1288" s="27" t="s">
        <v>52</v>
      </c>
      <c r="F1288" s="28" t="n">
        <v>1254</v>
      </c>
      <c r="G1288" s="29" t="n">
        <v>2360</v>
      </c>
      <c r="H1288" s="29" t="n">
        <f aca="false">F1288*G1288</f>
        <v>2959440</v>
      </c>
    </row>
    <row r="1289" customFormat="false" ht="15" hidden="false" customHeight="false" outlineLevel="0" collapsed="false">
      <c r="A1289" s="27" t="n">
        <v>2025</v>
      </c>
      <c r="B1289" s="27" t="n">
        <v>1</v>
      </c>
      <c r="C1289" s="27" t="s">
        <v>45</v>
      </c>
      <c r="D1289" s="27" t="s">
        <v>24</v>
      </c>
      <c r="E1289" s="27" t="s">
        <v>54</v>
      </c>
      <c r="F1289" s="28" t="n">
        <v>931</v>
      </c>
      <c r="G1289" s="29" t="n">
        <v>2360</v>
      </c>
      <c r="H1289" s="29" t="n">
        <f aca="false">F1289*G1289</f>
        <v>2197160</v>
      </c>
    </row>
    <row r="1290" customFormat="false" ht="15" hidden="false" customHeight="false" outlineLevel="0" collapsed="false">
      <c r="A1290" s="27" t="n">
        <v>2025</v>
      </c>
      <c r="B1290" s="27" t="n">
        <v>1</v>
      </c>
      <c r="C1290" s="27" t="s">
        <v>45</v>
      </c>
      <c r="D1290" s="27" t="s">
        <v>24</v>
      </c>
      <c r="E1290" s="27" t="s">
        <v>56</v>
      </c>
      <c r="F1290" s="28" t="n">
        <v>1064</v>
      </c>
      <c r="G1290" s="29" t="n">
        <v>2330</v>
      </c>
      <c r="H1290" s="29" t="n">
        <f aca="false">F1290*G1290</f>
        <v>2479120</v>
      </c>
    </row>
    <row r="1291" customFormat="false" ht="15" hidden="false" customHeight="false" outlineLevel="0" collapsed="false">
      <c r="A1291" s="27" t="n">
        <v>2025</v>
      </c>
      <c r="B1291" s="27" t="n">
        <v>1</v>
      </c>
      <c r="C1291" s="27" t="s">
        <v>45</v>
      </c>
      <c r="D1291" s="27" t="s">
        <v>24</v>
      </c>
      <c r="E1291" s="27" t="s">
        <v>58</v>
      </c>
      <c r="F1291" s="28" t="n">
        <v>807</v>
      </c>
      <c r="G1291" s="29" t="n">
        <v>2390</v>
      </c>
      <c r="H1291" s="29" t="n">
        <f aca="false">F1291*G1291</f>
        <v>1928730</v>
      </c>
    </row>
    <row r="1292" customFormat="false" ht="15" hidden="false" customHeight="false" outlineLevel="0" collapsed="false">
      <c r="A1292" s="27" t="n">
        <v>2025</v>
      </c>
      <c r="B1292" s="27" t="n">
        <v>1</v>
      </c>
      <c r="C1292" s="27" t="s">
        <v>45</v>
      </c>
      <c r="D1292" s="27" t="s">
        <v>26</v>
      </c>
      <c r="E1292" s="27" t="s">
        <v>50</v>
      </c>
      <c r="F1292" s="28" t="n">
        <v>905</v>
      </c>
      <c r="G1292" s="29" t="n">
        <v>2860</v>
      </c>
      <c r="H1292" s="29" t="n">
        <f aca="false">F1292*G1292</f>
        <v>2588300</v>
      </c>
    </row>
    <row r="1293" customFormat="false" ht="15" hidden="false" customHeight="false" outlineLevel="0" collapsed="false">
      <c r="A1293" s="27" t="n">
        <v>2025</v>
      </c>
      <c r="B1293" s="27" t="n">
        <v>1</v>
      </c>
      <c r="C1293" s="27" t="s">
        <v>45</v>
      </c>
      <c r="D1293" s="27" t="s">
        <v>26</v>
      </c>
      <c r="E1293" s="27" t="s">
        <v>52</v>
      </c>
      <c r="F1293" s="28" t="n">
        <v>592</v>
      </c>
      <c r="G1293" s="29" t="n">
        <v>2850</v>
      </c>
      <c r="H1293" s="29" t="n">
        <f aca="false">F1293*G1293</f>
        <v>1687200</v>
      </c>
    </row>
    <row r="1294" customFormat="false" ht="15" hidden="false" customHeight="false" outlineLevel="0" collapsed="false">
      <c r="A1294" s="27" t="n">
        <v>2025</v>
      </c>
      <c r="B1294" s="27" t="n">
        <v>1</v>
      </c>
      <c r="C1294" s="27" t="s">
        <v>45</v>
      </c>
      <c r="D1294" s="27" t="s">
        <v>26</v>
      </c>
      <c r="E1294" s="27" t="s">
        <v>54</v>
      </c>
      <c r="F1294" s="28" t="n">
        <v>487</v>
      </c>
      <c r="G1294" s="29" t="n">
        <v>2860</v>
      </c>
      <c r="H1294" s="29" t="n">
        <f aca="false">F1294*G1294</f>
        <v>1392820</v>
      </c>
    </row>
    <row r="1295" customFormat="false" ht="15" hidden="false" customHeight="false" outlineLevel="0" collapsed="false">
      <c r="A1295" s="27" t="n">
        <v>2025</v>
      </c>
      <c r="B1295" s="27" t="n">
        <v>1</v>
      </c>
      <c r="C1295" s="27" t="s">
        <v>45</v>
      </c>
      <c r="D1295" s="27" t="s">
        <v>26</v>
      </c>
      <c r="E1295" s="27" t="s">
        <v>56</v>
      </c>
      <c r="F1295" s="28" t="n">
        <v>567</v>
      </c>
      <c r="G1295" s="29" t="n">
        <v>2880</v>
      </c>
      <c r="H1295" s="29" t="n">
        <f aca="false">F1295*G1295</f>
        <v>1632960</v>
      </c>
    </row>
    <row r="1296" customFormat="false" ht="15" hidden="false" customHeight="false" outlineLevel="0" collapsed="false">
      <c r="A1296" s="27" t="n">
        <v>2025</v>
      </c>
      <c r="B1296" s="27" t="n">
        <v>1</v>
      </c>
      <c r="C1296" s="27" t="s">
        <v>45</v>
      </c>
      <c r="D1296" s="27" t="s">
        <v>26</v>
      </c>
      <c r="E1296" s="27" t="s">
        <v>58</v>
      </c>
      <c r="F1296" s="28" t="n">
        <v>393</v>
      </c>
      <c r="G1296" s="29" t="n">
        <v>2850</v>
      </c>
      <c r="H1296" s="29" t="n">
        <f aca="false">F1296*G1296</f>
        <v>1120050</v>
      </c>
    </row>
    <row r="1297" customFormat="false" ht="15" hidden="false" customHeight="false" outlineLevel="0" collapsed="false">
      <c r="A1297" s="27" t="n">
        <v>2025</v>
      </c>
      <c r="B1297" s="27" t="n">
        <v>1</v>
      </c>
      <c r="C1297" s="27" t="s">
        <v>45</v>
      </c>
      <c r="D1297" s="27" t="s">
        <v>28</v>
      </c>
      <c r="E1297" s="27" t="s">
        <v>50</v>
      </c>
      <c r="F1297" s="28" t="n">
        <v>431</v>
      </c>
      <c r="G1297" s="29" t="n">
        <v>2720</v>
      </c>
      <c r="H1297" s="29" t="n">
        <f aca="false">F1297*G1297</f>
        <v>1172320</v>
      </c>
    </row>
    <row r="1298" customFormat="false" ht="15" hidden="false" customHeight="false" outlineLevel="0" collapsed="false">
      <c r="A1298" s="27" t="n">
        <v>2025</v>
      </c>
      <c r="B1298" s="27" t="n">
        <v>1</v>
      </c>
      <c r="C1298" s="27" t="s">
        <v>45</v>
      </c>
      <c r="D1298" s="27" t="s">
        <v>28</v>
      </c>
      <c r="E1298" s="27" t="s">
        <v>52</v>
      </c>
      <c r="F1298" s="28" t="n">
        <v>287</v>
      </c>
      <c r="G1298" s="29" t="n">
        <v>2680</v>
      </c>
      <c r="H1298" s="29" t="n">
        <f aca="false">F1298*G1298</f>
        <v>769160</v>
      </c>
    </row>
    <row r="1299" customFormat="false" ht="15" hidden="false" customHeight="false" outlineLevel="0" collapsed="false">
      <c r="A1299" s="27" t="n">
        <v>2025</v>
      </c>
      <c r="B1299" s="27" t="n">
        <v>1</v>
      </c>
      <c r="C1299" s="27" t="s">
        <v>45</v>
      </c>
      <c r="D1299" s="27" t="s">
        <v>28</v>
      </c>
      <c r="E1299" s="27" t="s">
        <v>54</v>
      </c>
      <c r="F1299" s="28" t="n">
        <v>207</v>
      </c>
      <c r="G1299" s="29" t="n">
        <v>2640</v>
      </c>
      <c r="H1299" s="29" t="n">
        <f aca="false">F1299*G1299</f>
        <v>546480</v>
      </c>
    </row>
    <row r="1300" customFormat="false" ht="15" hidden="false" customHeight="false" outlineLevel="0" collapsed="false">
      <c r="A1300" s="27" t="n">
        <v>2025</v>
      </c>
      <c r="B1300" s="27" t="n">
        <v>1</v>
      </c>
      <c r="C1300" s="27" t="s">
        <v>45</v>
      </c>
      <c r="D1300" s="27" t="s">
        <v>28</v>
      </c>
      <c r="E1300" s="27" t="s">
        <v>56</v>
      </c>
      <c r="F1300" s="28" t="n">
        <v>283</v>
      </c>
      <c r="G1300" s="29" t="n">
        <v>2670</v>
      </c>
      <c r="H1300" s="29" t="n">
        <f aca="false">F1300*G1300</f>
        <v>755610</v>
      </c>
    </row>
    <row r="1301" customFormat="false" ht="15" hidden="false" customHeight="false" outlineLevel="0" collapsed="false">
      <c r="A1301" s="27" t="n">
        <v>2025</v>
      </c>
      <c r="B1301" s="27" t="n">
        <v>1</v>
      </c>
      <c r="C1301" s="27" t="s">
        <v>45</v>
      </c>
      <c r="D1301" s="27" t="s">
        <v>28</v>
      </c>
      <c r="E1301" s="27" t="s">
        <v>58</v>
      </c>
      <c r="F1301" s="28" t="n">
        <v>165</v>
      </c>
      <c r="G1301" s="29" t="n">
        <v>2690</v>
      </c>
      <c r="H1301" s="29" t="n">
        <f aca="false">F1301*G1301</f>
        <v>443850</v>
      </c>
    </row>
    <row r="1302" customFormat="false" ht="15" hidden="false" customHeight="false" outlineLevel="0" collapsed="false">
      <c r="A1302" s="27" t="n">
        <v>2025</v>
      </c>
      <c r="B1302" s="27" t="n">
        <v>2</v>
      </c>
      <c r="C1302" s="27" t="s">
        <v>38</v>
      </c>
      <c r="D1302" s="27" t="s">
        <v>22</v>
      </c>
      <c r="E1302" s="27" t="s">
        <v>50</v>
      </c>
      <c r="F1302" s="28" t="n">
        <v>7047</v>
      </c>
      <c r="G1302" s="29" t="n">
        <v>2780</v>
      </c>
      <c r="H1302" s="29" t="n">
        <f aca="false">F1302*G1302</f>
        <v>19590660</v>
      </c>
    </row>
    <row r="1303" customFormat="false" ht="15" hidden="false" customHeight="false" outlineLevel="0" collapsed="false">
      <c r="A1303" s="27" t="n">
        <v>2025</v>
      </c>
      <c r="B1303" s="27" t="n">
        <v>2</v>
      </c>
      <c r="C1303" s="27" t="s">
        <v>38</v>
      </c>
      <c r="D1303" s="27" t="s">
        <v>22</v>
      </c>
      <c r="E1303" s="27" t="s">
        <v>52</v>
      </c>
      <c r="F1303" s="28" t="n">
        <v>4508</v>
      </c>
      <c r="G1303" s="29" t="n">
        <v>2750</v>
      </c>
      <c r="H1303" s="29" t="n">
        <f aca="false">F1303*G1303</f>
        <v>12397000</v>
      </c>
    </row>
    <row r="1304" customFormat="false" ht="15" hidden="false" customHeight="false" outlineLevel="0" collapsed="false">
      <c r="A1304" s="27" t="n">
        <v>2025</v>
      </c>
      <c r="B1304" s="27" t="n">
        <v>2</v>
      </c>
      <c r="C1304" s="27" t="s">
        <v>38</v>
      </c>
      <c r="D1304" s="27" t="s">
        <v>22</v>
      </c>
      <c r="E1304" s="27" t="s">
        <v>54</v>
      </c>
      <c r="F1304" s="28" t="n">
        <v>3836</v>
      </c>
      <c r="G1304" s="29" t="n">
        <v>2720</v>
      </c>
      <c r="H1304" s="29" t="n">
        <f aca="false">F1304*G1304</f>
        <v>10433920</v>
      </c>
    </row>
    <row r="1305" customFormat="false" ht="15" hidden="false" customHeight="false" outlineLevel="0" collapsed="false">
      <c r="A1305" s="27" t="n">
        <v>2025</v>
      </c>
      <c r="B1305" s="27" t="n">
        <v>2</v>
      </c>
      <c r="C1305" s="27" t="s">
        <v>38</v>
      </c>
      <c r="D1305" s="27" t="s">
        <v>22</v>
      </c>
      <c r="E1305" s="27" t="s">
        <v>56</v>
      </c>
      <c r="F1305" s="28" t="n">
        <v>4088</v>
      </c>
      <c r="G1305" s="29" t="n">
        <v>2740</v>
      </c>
      <c r="H1305" s="29" t="n">
        <f aca="false">F1305*G1305</f>
        <v>11201120</v>
      </c>
    </row>
    <row r="1306" customFormat="false" ht="15" hidden="false" customHeight="false" outlineLevel="0" collapsed="false">
      <c r="A1306" s="27" t="n">
        <v>2025</v>
      </c>
      <c r="B1306" s="27" t="n">
        <v>2</v>
      </c>
      <c r="C1306" s="27" t="s">
        <v>38</v>
      </c>
      <c r="D1306" s="27" t="s">
        <v>22</v>
      </c>
      <c r="E1306" s="27" t="s">
        <v>58</v>
      </c>
      <c r="F1306" s="28" t="n">
        <v>3065</v>
      </c>
      <c r="G1306" s="29" t="n">
        <v>2710</v>
      </c>
      <c r="H1306" s="29" t="n">
        <f aca="false">F1306*G1306</f>
        <v>8306150</v>
      </c>
    </row>
    <row r="1307" customFormat="false" ht="15" hidden="false" customHeight="false" outlineLevel="0" collapsed="false">
      <c r="A1307" s="27" t="n">
        <v>2025</v>
      </c>
      <c r="B1307" s="27" t="n">
        <v>2</v>
      </c>
      <c r="C1307" s="27" t="s">
        <v>38</v>
      </c>
      <c r="D1307" s="27" t="s">
        <v>24</v>
      </c>
      <c r="E1307" s="27" t="s">
        <v>50</v>
      </c>
      <c r="F1307" s="28" t="n">
        <v>3844</v>
      </c>
      <c r="G1307" s="29" t="n">
        <v>2570</v>
      </c>
      <c r="H1307" s="29" t="n">
        <f aca="false">F1307*G1307</f>
        <v>9879080</v>
      </c>
    </row>
    <row r="1308" customFormat="false" ht="15" hidden="false" customHeight="false" outlineLevel="0" collapsed="false">
      <c r="A1308" s="27" t="n">
        <v>2025</v>
      </c>
      <c r="B1308" s="27" t="n">
        <v>2</v>
      </c>
      <c r="C1308" s="27" t="s">
        <v>38</v>
      </c>
      <c r="D1308" s="27" t="s">
        <v>24</v>
      </c>
      <c r="E1308" s="27" t="s">
        <v>52</v>
      </c>
      <c r="F1308" s="28" t="n">
        <v>2542</v>
      </c>
      <c r="G1308" s="29" t="n">
        <v>2540</v>
      </c>
      <c r="H1308" s="29" t="n">
        <f aca="false">F1308*G1308</f>
        <v>6456680</v>
      </c>
    </row>
    <row r="1309" customFormat="false" ht="15" hidden="false" customHeight="false" outlineLevel="0" collapsed="false">
      <c r="A1309" s="27" t="n">
        <v>2025</v>
      </c>
      <c r="B1309" s="27" t="n">
        <v>2</v>
      </c>
      <c r="C1309" s="27" t="s">
        <v>38</v>
      </c>
      <c r="D1309" s="27" t="s">
        <v>24</v>
      </c>
      <c r="E1309" s="27" t="s">
        <v>54</v>
      </c>
      <c r="F1309" s="28" t="n">
        <v>1902</v>
      </c>
      <c r="G1309" s="29" t="n">
        <v>2530</v>
      </c>
      <c r="H1309" s="29" t="n">
        <f aca="false">F1309*G1309</f>
        <v>4812060</v>
      </c>
    </row>
    <row r="1310" customFormat="false" ht="15" hidden="false" customHeight="false" outlineLevel="0" collapsed="false">
      <c r="A1310" s="27" t="n">
        <v>2025</v>
      </c>
      <c r="B1310" s="27" t="n">
        <v>2</v>
      </c>
      <c r="C1310" s="27" t="s">
        <v>38</v>
      </c>
      <c r="D1310" s="27" t="s">
        <v>24</v>
      </c>
      <c r="E1310" s="27" t="s">
        <v>56</v>
      </c>
      <c r="F1310" s="28" t="n">
        <v>2489</v>
      </c>
      <c r="G1310" s="29" t="n">
        <v>2570</v>
      </c>
      <c r="H1310" s="29" t="n">
        <f aca="false">F1310*G1310</f>
        <v>6396730</v>
      </c>
    </row>
    <row r="1311" customFormat="false" ht="15" hidden="false" customHeight="false" outlineLevel="0" collapsed="false">
      <c r="A1311" s="27" t="n">
        <v>2025</v>
      </c>
      <c r="B1311" s="27" t="n">
        <v>2</v>
      </c>
      <c r="C1311" s="27" t="s">
        <v>38</v>
      </c>
      <c r="D1311" s="27" t="s">
        <v>24</v>
      </c>
      <c r="E1311" s="27" t="s">
        <v>58</v>
      </c>
      <c r="F1311" s="28" t="n">
        <v>1638</v>
      </c>
      <c r="G1311" s="29" t="n">
        <v>2590</v>
      </c>
      <c r="H1311" s="29" t="n">
        <f aca="false">F1311*G1311</f>
        <v>4242420</v>
      </c>
    </row>
    <row r="1312" customFormat="false" ht="15" hidden="false" customHeight="false" outlineLevel="0" collapsed="false">
      <c r="A1312" s="27" t="n">
        <v>2025</v>
      </c>
      <c r="B1312" s="27" t="n">
        <v>2</v>
      </c>
      <c r="C1312" s="27" t="s">
        <v>38</v>
      </c>
      <c r="D1312" s="27" t="s">
        <v>26</v>
      </c>
      <c r="E1312" s="27" t="s">
        <v>50</v>
      </c>
      <c r="F1312" s="28" t="n">
        <v>2063</v>
      </c>
      <c r="G1312" s="29" t="n">
        <v>3050</v>
      </c>
      <c r="H1312" s="29" t="n">
        <f aca="false">F1312*G1312</f>
        <v>6292150</v>
      </c>
    </row>
    <row r="1313" customFormat="false" ht="15" hidden="false" customHeight="false" outlineLevel="0" collapsed="false">
      <c r="A1313" s="27" t="n">
        <v>2025</v>
      </c>
      <c r="B1313" s="27" t="n">
        <v>2</v>
      </c>
      <c r="C1313" s="27" t="s">
        <v>38</v>
      </c>
      <c r="D1313" s="27" t="s">
        <v>26</v>
      </c>
      <c r="E1313" s="27" t="s">
        <v>52</v>
      </c>
      <c r="F1313" s="28" t="n">
        <v>1438</v>
      </c>
      <c r="G1313" s="29" t="n">
        <v>3080</v>
      </c>
      <c r="H1313" s="29" t="n">
        <f aca="false">F1313*G1313</f>
        <v>4429040</v>
      </c>
    </row>
    <row r="1314" customFormat="false" ht="15" hidden="false" customHeight="false" outlineLevel="0" collapsed="false">
      <c r="A1314" s="27" t="n">
        <v>2025</v>
      </c>
      <c r="B1314" s="27" t="n">
        <v>2</v>
      </c>
      <c r="C1314" s="27" t="s">
        <v>38</v>
      </c>
      <c r="D1314" s="27" t="s">
        <v>26</v>
      </c>
      <c r="E1314" s="27" t="s">
        <v>54</v>
      </c>
      <c r="F1314" s="28" t="n">
        <v>1038</v>
      </c>
      <c r="G1314" s="29" t="n">
        <v>3070</v>
      </c>
      <c r="H1314" s="29" t="n">
        <f aca="false">F1314*G1314</f>
        <v>3186660</v>
      </c>
    </row>
    <row r="1315" customFormat="false" ht="15" hidden="false" customHeight="false" outlineLevel="0" collapsed="false">
      <c r="A1315" s="27" t="n">
        <v>2025</v>
      </c>
      <c r="B1315" s="27" t="n">
        <v>2</v>
      </c>
      <c r="C1315" s="27" t="s">
        <v>38</v>
      </c>
      <c r="D1315" s="27" t="s">
        <v>26</v>
      </c>
      <c r="E1315" s="27" t="s">
        <v>56</v>
      </c>
      <c r="F1315" s="28" t="n">
        <v>1354</v>
      </c>
      <c r="G1315" s="29" t="n">
        <v>3120</v>
      </c>
      <c r="H1315" s="29" t="n">
        <f aca="false">F1315*G1315</f>
        <v>4224480</v>
      </c>
    </row>
    <row r="1316" customFormat="false" ht="15" hidden="false" customHeight="false" outlineLevel="0" collapsed="false">
      <c r="A1316" s="27" t="n">
        <v>2025</v>
      </c>
      <c r="B1316" s="27" t="n">
        <v>2</v>
      </c>
      <c r="C1316" s="27" t="s">
        <v>38</v>
      </c>
      <c r="D1316" s="27" t="s">
        <v>26</v>
      </c>
      <c r="E1316" s="27" t="s">
        <v>58</v>
      </c>
      <c r="F1316" s="28" t="n">
        <v>832</v>
      </c>
      <c r="G1316" s="29" t="n">
        <v>3070</v>
      </c>
      <c r="H1316" s="29" t="n">
        <f aca="false">F1316*G1316</f>
        <v>2554240</v>
      </c>
    </row>
    <row r="1317" customFormat="false" ht="15" hidden="false" customHeight="false" outlineLevel="0" collapsed="false">
      <c r="A1317" s="27" t="n">
        <v>2025</v>
      </c>
      <c r="B1317" s="27" t="n">
        <v>2</v>
      </c>
      <c r="C1317" s="27" t="s">
        <v>38</v>
      </c>
      <c r="D1317" s="27" t="s">
        <v>28</v>
      </c>
      <c r="E1317" s="27" t="s">
        <v>50</v>
      </c>
      <c r="F1317" s="28" t="n">
        <v>1013</v>
      </c>
      <c r="G1317" s="29" t="n">
        <v>2850</v>
      </c>
      <c r="H1317" s="29" t="n">
        <f aca="false">F1317*G1317</f>
        <v>2887050</v>
      </c>
    </row>
    <row r="1318" customFormat="false" ht="15" hidden="false" customHeight="false" outlineLevel="0" collapsed="false">
      <c r="A1318" s="27" t="n">
        <v>2025</v>
      </c>
      <c r="B1318" s="27" t="n">
        <v>2</v>
      </c>
      <c r="C1318" s="27" t="s">
        <v>38</v>
      </c>
      <c r="D1318" s="27" t="s">
        <v>28</v>
      </c>
      <c r="E1318" s="27" t="s">
        <v>52</v>
      </c>
      <c r="F1318" s="28" t="n">
        <v>628</v>
      </c>
      <c r="G1318" s="29" t="n">
        <v>2880</v>
      </c>
      <c r="H1318" s="29" t="n">
        <f aca="false">F1318*G1318</f>
        <v>1808640</v>
      </c>
    </row>
    <row r="1319" customFormat="false" ht="15" hidden="false" customHeight="false" outlineLevel="0" collapsed="false">
      <c r="A1319" s="27" t="n">
        <v>2025</v>
      </c>
      <c r="B1319" s="27" t="n">
        <v>2</v>
      </c>
      <c r="C1319" s="27" t="s">
        <v>38</v>
      </c>
      <c r="D1319" s="27" t="s">
        <v>28</v>
      </c>
      <c r="E1319" s="27" t="s">
        <v>54</v>
      </c>
      <c r="F1319" s="28" t="n">
        <v>533</v>
      </c>
      <c r="G1319" s="29" t="n">
        <v>2910</v>
      </c>
      <c r="H1319" s="29" t="n">
        <f aca="false">F1319*G1319</f>
        <v>1551030</v>
      </c>
    </row>
    <row r="1320" customFormat="false" ht="15" hidden="false" customHeight="false" outlineLevel="0" collapsed="false">
      <c r="A1320" s="27" t="n">
        <v>2025</v>
      </c>
      <c r="B1320" s="27" t="n">
        <v>2</v>
      </c>
      <c r="C1320" s="27" t="s">
        <v>38</v>
      </c>
      <c r="D1320" s="27" t="s">
        <v>28</v>
      </c>
      <c r="E1320" s="27" t="s">
        <v>56</v>
      </c>
      <c r="F1320" s="28" t="n">
        <v>589</v>
      </c>
      <c r="G1320" s="29" t="n">
        <v>2870</v>
      </c>
      <c r="H1320" s="29" t="n">
        <f aca="false">F1320*G1320</f>
        <v>1690430</v>
      </c>
    </row>
    <row r="1321" customFormat="false" ht="15" hidden="false" customHeight="false" outlineLevel="0" collapsed="false">
      <c r="A1321" s="27" t="n">
        <v>2025</v>
      </c>
      <c r="B1321" s="27" t="n">
        <v>2</v>
      </c>
      <c r="C1321" s="27" t="s">
        <v>38</v>
      </c>
      <c r="D1321" s="27" t="s">
        <v>28</v>
      </c>
      <c r="E1321" s="27" t="s">
        <v>58</v>
      </c>
      <c r="F1321" s="28" t="n">
        <v>423</v>
      </c>
      <c r="G1321" s="29" t="n">
        <v>2860</v>
      </c>
      <c r="H1321" s="29" t="n">
        <f aca="false">F1321*G1321</f>
        <v>1209780</v>
      </c>
    </row>
    <row r="1322" customFormat="false" ht="15" hidden="false" customHeight="false" outlineLevel="0" collapsed="false">
      <c r="A1322" s="27" t="n">
        <v>2025</v>
      </c>
      <c r="B1322" s="27" t="n">
        <v>2</v>
      </c>
      <c r="C1322" s="27" t="s">
        <v>40</v>
      </c>
      <c r="D1322" s="27" t="s">
        <v>22</v>
      </c>
      <c r="E1322" s="27" t="s">
        <v>50</v>
      </c>
      <c r="F1322" s="28" t="n">
        <v>3808</v>
      </c>
      <c r="G1322" s="29" t="n">
        <v>2420</v>
      </c>
      <c r="H1322" s="29" t="n">
        <f aca="false">F1322*G1322</f>
        <v>9215360</v>
      </c>
    </row>
    <row r="1323" customFormat="false" ht="15" hidden="false" customHeight="false" outlineLevel="0" collapsed="false">
      <c r="A1323" s="27" t="n">
        <v>2025</v>
      </c>
      <c r="B1323" s="27" t="n">
        <v>2</v>
      </c>
      <c r="C1323" s="27" t="s">
        <v>40</v>
      </c>
      <c r="D1323" s="27" t="s">
        <v>22</v>
      </c>
      <c r="E1323" s="27" t="s">
        <v>52</v>
      </c>
      <c r="F1323" s="28" t="n">
        <v>2200</v>
      </c>
      <c r="G1323" s="29" t="n">
        <v>2400</v>
      </c>
      <c r="H1323" s="29" t="n">
        <f aca="false">F1323*G1323</f>
        <v>5280000</v>
      </c>
    </row>
    <row r="1324" customFormat="false" ht="15" hidden="false" customHeight="false" outlineLevel="0" collapsed="false">
      <c r="A1324" s="27" t="n">
        <v>2025</v>
      </c>
      <c r="B1324" s="27" t="n">
        <v>2</v>
      </c>
      <c r="C1324" s="27" t="s">
        <v>40</v>
      </c>
      <c r="D1324" s="27" t="s">
        <v>22</v>
      </c>
      <c r="E1324" s="27" t="s">
        <v>54</v>
      </c>
      <c r="F1324" s="28" t="n">
        <v>1983</v>
      </c>
      <c r="G1324" s="29" t="n">
        <v>2420</v>
      </c>
      <c r="H1324" s="29" t="n">
        <f aca="false">F1324*G1324</f>
        <v>4798860</v>
      </c>
    </row>
    <row r="1325" customFormat="false" ht="15" hidden="false" customHeight="false" outlineLevel="0" collapsed="false">
      <c r="A1325" s="27" t="n">
        <v>2025</v>
      </c>
      <c r="B1325" s="27" t="n">
        <v>2</v>
      </c>
      <c r="C1325" s="27" t="s">
        <v>40</v>
      </c>
      <c r="D1325" s="27" t="s">
        <v>22</v>
      </c>
      <c r="E1325" s="27" t="s">
        <v>56</v>
      </c>
      <c r="F1325" s="28" t="n">
        <v>2376</v>
      </c>
      <c r="G1325" s="29" t="n">
        <v>2410</v>
      </c>
      <c r="H1325" s="29" t="n">
        <f aca="false">F1325*G1325</f>
        <v>5726160</v>
      </c>
    </row>
    <row r="1326" customFormat="false" ht="15" hidden="false" customHeight="false" outlineLevel="0" collapsed="false">
      <c r="A1326" s="27" t="n">
        <v>2025</v>
      </c>
      <c r="B1326" s="27" t="n">
        <v>2</v>
      </c>
      <c r="C1326" s="27" t="s">
        <v>40</v>
      </c>
      <c r="D1326" s="27" t="s">
        <v>22</v>
      </c>
      <c r="E1326" s="27" t="s">
        <v>58</v>
      </c>
      <c r="F1326" s="28" t="n">
        <v>1524</v>
      </c>
      <c r="G1326" s="29" t="n">
        <v>2480</v>
      </c>
      <c r="H1326" s="29" t="n">
        <f aca="false">F1326*G1326</f>
        <v>3779520</v>
      </c>
    </row>
    <row r="1327" customFormat="false" ht="15" hidden="false" customHeight="false" outlineLevel="0" collapsed="false">
      <c r="A1327" s="27" t="n">
        <v>2025</v>
      </c>
      <c r="B1327" s="27" t="n">
        <v>2</v>
      </c>
      <c r="C1327" s="27" t="s">
        <v>40</v>
      </c>
      <c r="D1327" s="27" t="s">
        <v>24</v>
      </c>
      <c r="E1327" s="27" t="s">
        <v>50</v>
      </c>
      <c r="F1327" s="28" t="n">
        <v>2028</v>
      </c>
      <c r="G1327" s="29" t="n">
        <v>2210</v>
      </c>
      <c r="H1327" s="29" t="n">
        <f aca="false">F1327*G1327</f>
        <v>4481880</v>
      </c>
    </row>
    <row r="1328" customFormat="false" ht="15" hidden="false" customHeight="false" outlineLevel="0" collapsed="false">
      <c r="A1328" s="27" t="n">
        <v>2025</v>
      </c>
      <c r="B1328" s="27" t="n">
        <v>2</v>
      </c>
      <c r="C1328" s="27" t="s">
        <v>40</v>
      </c>
      <c r="D1328" s="27" t="s">
        <v>24</v>
      </c>
      <c r="E1328" s="27" t="s">
        <v>52</v>
      </c>
      <c r="F1328" s="28" t="n">
        <v>1424</v>
      </c>
      <c r="G1328" s="29" t="n">
        <v>2240</v>
      </c>
      <c r="H1328" s="29" t="n">
        <f aca="false">F1328*G1328</f>
        <v>3189760</v>
      </c>
    </row>
    <row r="1329" customFormat="false" ht="15" hidden="false" customHeight="false" outlineLevel="0" collapsed="false">
      <c r="A1329" s="27" t="n">
        <v>2025</v>
      </c>
      <c r="B1329" s="27" t="n">
        <v>2</v>
      </c>
      <c r="C1329" s="27" t="s">
        <v>40</v>
      </c>
      <c r="D1329" s="27" t="s">
        <v>24</v>
      </c>
      <c r="E1329" s="27" t="s">
        <v>54</v>
      </c>
      <c r="F1329" s="28" t="n">
        <v>1070</v>
      </c>
      <c r="G1329" s="29" t="n">
        <v>2240</v>
      </c>
      <c r="H1329" s="29" t="n">
        <f aca="false">F1329*G1329</f>
        <v>2396800</v>
      </c>
    </row>
    <row r="1330" customFormat="false" ht="15" hidden="false" customHeight="false" outlineLevel="0" collapsed="false">
      <c r="A1330" s="27" t="n">
        <v>2025</v>
      </c>
      <c r="B1330" s="27" t="n">
        <v>2</v>
      </c>
      <c r="C1330" s="27" t="s">
        <v>40</v>
      </c>
      <c r="D1330" s="27" t="s">
        <v>24</v>
      </c>
      <c r="E1330" s="27" t="s">
        <v>56</v>
      </c>
      <c r="F1330" s="28" t="n">
        <v>1289</v>
      </c>
      <c r="G1330" s="29" t="n">
        <v>2240</v>
      </c>
      <c r="H1330" s="29" t="n">
        <f aca="false">F1330*G1330</f>
        <v>2887360</v>
      </c>
    </row>
    <row r="1331" customFormat="false" ht="15" hidden="false" customHeight="false" outlineLevel="0" collapsed="false">
      <c r="A1331" s="27" t="n">
        <v>2025</v>
      </c>
      <c r="B1331" s="27" t="n">
        <v>2</v>
      </c>
      <c r="C1331" s="27" t="s">
        <v>40</v>
      </c>
      <c r="D1331" s="27" t="s">
        <v>24</v>
      </c>
      <c r="E1331" s="27" t="s">
        <v>58</v>
      </c>
      <c r="F1331" s="28" t="n">
        <v>862</v>
      </c>
      <c r="G1331" s="29" t="n">
        <v>2270</v>
      </c>
      <c r="H1331" s="29" t="n">
        <f aca="false">F1331*G1331</f>
        <v>1956740</v>
      </c>
    </row>
    <row r="1332" customFormat="false" ht="15" hidden="false" customHeight="false" outlineLevel="0" collapsed="false">
      <c r="A1332" s="27" t="n">
        <v>2025</v>
      </c>
      <c r="B1332" s="27" t="n">
        <v>2</v>
      </c>
      <c r="C1332" s="27" t="s">
        <v>40</v>
      </c>
      <c r="D1332" s="27" t="s">
        <v>26</v>
      </c>
      <c r="E1332" s="27" t="s">
        <v>50</v>
      </c>
      <c r="F1332" s="28" t="n">
        <v>1036</v>
      </c>
      <c r="G1332" s="29" t="n">
        <v>2700</v>
      </c>
      <c r="H1332" s="29" t="n">
        <f aca="false">F1332*G1332</f>
        <v>2797200</v>
      </c>
    </row>
    <row r="1333" customFormat="false" ht="15" hidden="false" customHeight="false" outlineLevel="0" collapsed="false">
      <c r="A1333" s="27" t="n">
        <v>2025</v>
      </c>
      <c r="B1333" s="27" t="n">
        <v>2</v>
      </c>
      <c r="C1333" s="27" t="s">
        <v>40</v>
      </c>
      <c r="D1333" s="27" t="s">
        <v>26</v>
      </c>
      <c r="E1333" s="27" t="s">
        <v>52</v>
      </c>
      <c r="F1333" s="28" t="n">
        <v>670</v>
      </c>
      <c r="G1333" s="29" t="n">
        <v>2680</v>
      </c>
      <c r="H1333" s="29" t="n">
        <f aca="false">F1333*G1333</f>
        <v>1795600</v>
      </c>
    </row>
    <row r="1334" customFormat="false" ht="15" hidden="false" customHeight="false" outlineLevel="0" collapsed="false">
      <c r="A1334" s="27" t="n">
        <v>2025</v>
      </c>
      <c r="B1334" s="27" t="n">
        <v>2</v>
      </c>
      <c r="C1334" s="27" t="s">
        <v>40</v>
      </c>
      <c r="D1334" s="27" t="s">
        <v>26</v>
      </c>
      <c r="E1334" s="27" t="s">
        <v>54</v>
      </c>
      <c r="F1334" s="28" t="n">
        <v>534</v>
      </c>
      <c r="G1334" s="29" t="n">
        <v>2720</v>
      </c>
      <c r="H1334" s="29" t="n">
        <f aca="false">F1334*G1334</f>
        <v>1452480</v>
      </c>
    </row>
    <row r="1335" customFormat="false" ht="15" hidden="false" customHeight="false" outlineLevel="0" collapsed="false">
      <c r="A1335" s="27" t="n">
        <v>2025</v>
      </c>
      <c r="B1335" s="27" t="n">
        <v>2</v>
      </c>
      <c r="C1335" s="27" t="s">
        <v>40</v>
      </c>
      <c r="D1335" s="27" t="s">
        <v>26</v>
      </c>
      <c r="E1335" s="27" t="s">
        <v>56</v>
      </c>
      <c r="F1335" s="28" t="n">
        <v>635</v>
      </c>
      <c r="G1335" s="29" t="n">
        <v>2710</v>
      </c>
      <c r="H1335" s="29" t="n">
        <f aca="false">F1335*G1335</f>
        <v>1720850</v>
      </c>
    </row>
    <row r="1336" customFormat="false" ht="15" hidden="false" customHeight="false" outlineLevel="0" collapsed="false">
      <c r="A1336" s="27" t="n">
        <v>2025</v>
      </c>
      <c r="B1336" s="27" t="n">
        <v>2</v>
      </c>
      <c r="C1336" s="27" t="s">
        <v>40</v>
      </c>
      <c r="D1336" s="27" t="s">
        <v>26</v>
      </c>
      <c r="E1336" s="27" t="s">
        <v>58</v>
      </c>
      <c r="F1336" s="28" t="n">
        <v>443</v>
      </c>
      <c r="G1336" s="29" t="n">
        <v>2700</v>
      </c>
      <c r="H1336" s="29" t="n">
        <f aca="false">F1336*G1336</f>
        <v>1196100</v>
      </c>
    </row>
    <row r="1337" customFormat="false" ht="15" hidden="false" customHeight="false" outlineLevel="0" collapsed="false">
      <c r="A1337" s="27" t="n">
        <v>2025</v>
      </c>
      <c r="B1337" s="27" t="n">
        <v>2</v>
      </c>
      <c r="C1337" s="27" t="s">
        <v>40</v>
      </c>
      <c r="D1337" s="27" t="s">
        <v>28</v>
      </c>
      <c r="E1337" s="27" t="s">
        <v>50</v>
      </c>
      <c r="F1337" s="28" t="n">
        <v>533</v>
      </c>
      <c r="G1337" s="29" t="n">
        <v>2580</v>
      </c>
      <c r="H1337" s="29" t="n">
        <f aca="false">F1337*G1337</f>
        <v>1375140</v>
      </c>
    </row>
    <row r="1338" customFormat="false" ht="15" hidden="false" customHeight="false" outlineLevel="0" collapsed="false">
      <c r="A1338" s="27" t="n">
        <v>2025</v>
      </c>
      <c r="B1338" s="27" t="n">
        <v>2</v>
      </c>
      <c r="C1338" s="27" t="s">
        <v>40</v>
      </c>
      <c r="D1338" s="27" t="s">
        <v>28</v>
      </c>
      <c r="E1338" s="27" t="s">
        <v>52</v>
      </c>
      <c r="F1338" s="28" t="n">
        <v>314</v>
      </c>
      <c r="G1338" s="29" t="n">
        <v>2560</v>
      </c>
      <c r="H1338" s="29" t="n">
        <f aca="false">F1338*G1338</f>
        <v>803840</v>
      </c>
    </row>
    <row r="1339" customFormat="false" ht="15" hidden="false" customHeight="false" outlineLevel="0" collapsed="false">
      <c r="A1339" s="27" t="n">
        <v>2025</v>
      </c>
      <c r="B1339" s="27" t="n">
        <v>2</v>
      </c>
      <c r="C1339" s="27" t="s">
        <v>40</v>
      </c>
      <c r="D1339" s="27" t="s">
        <v>28</v>
      </c>
      <c r="E1339" s="27" t="s">
        <v>54</v>
      </c>
      <c r="F1339" s="28" t="n">
        <v>254</v>
      </c>
      <c r="G1339" s="29" t="n">
        <v>2560</v>
      </c>
      <c r="H1339" s="29" t="n">
        <f aca="false">F1339*G1339</f>
        <v>650240</v>
      </c>
    </row>
    <row r="1340" customFormat="false" ht="15" hidden="false" customHeight="false" outlineLevel="0" collapsed="false">
      <c r="A1340" s="27" t="n">
        <v>2025</v>
      </c>
      <c r="B1340" s="27" t="n">
        <v>2</v>
      </c>
      <c r="C1340" s="27" t="s">
        <v>40</v>
      </c>
      <c r="D1340" s="27" t="s">
        <v>28</v>
      </c>
      <c r="E1340" s="27" t="s">
        <v>56</v>
      </c>
      <c r="F1340" s="28" t="n">
        <v>330</v>
      </c>
      <c r="G1340" s="29" t="n">
        <v>2560</v>
      </c>
      <c r="H1340" s="29" t="n">
        <f aca="false">F1340*G1340</f>
        <v>844800</v>
      </c>
    </row>
    <row r="1341" customFormat="false" ht="15" hidden="false" customHeight="false" outlineLevel="0" collapsed="false">
      <c r="A1341" s="27" t="n">
        <v>2025</v>
      </c>
      <c r="B1341" s="27" t="n">
        <v>2</v>
      </c>
      <c r="C1341" s="27" t="s">
        <v>40</v>
      </c>
      <c r="D1341" s="27" t="s">
        <v>28</v>
      </c>
      <c r="E1341" s="27" t="s">
        <v>58</v>
      </c>
      <c r="F1341" s="28" t="n">
        <v>191</v>
      </c>
      <c r="G1341" s="29" t="n">
        <v>2560</v>
      </c>
      <c r="H1341" s="29" t="n">
        <f aca="false">F1341*G1341</f>
        <v>488960</v>
      </c>
    </row>
    <row r="1342" customFormat="false" ht="15" hidden="false" customHeight="false" outlineLevel="0" collapsed="false">
      <c r="A1342" s="27" t="n">
        <v>2025</v>
      </c>
      <c r="B1342" s="27" t="n">
        <v>2</v>
      </c>
      <c r="C1342" s="27" t="s">
        <v>42</v>
      </c>
      <c r="D1342" s="27" t="s">
        <v>22</v>
      </c>
      <c r="E1342" s="27" t="s">
        <v>50</v>
      </c>
      <c r="F1342" s="28" t="n">
        <v>4354</v>
      </c>
      <c r="G1342" s="29" t="n">
        <v>2210</v>
      </c>
      <c r="H1342" s="29" t="n">
        <f aca="false">F1342*G1342</f>
        <v>9622340</v>
      </c>
    </row>
    <row r="1343" customFormat="false" ht="15" hidden="false" customHeight="false" outlineLevel="0" collapsed="false">
      <c r="A1343" s="27" t="n">
        <v>2025</v>
      </c>
      <c r="B1343" s="27" t="n">
        <v>2</v>
      </c>
      <c r="C1343" s="27" t="s">
        <v>42</v>
      </c>
      <c r="D1343" s="27" t="s">
        <v>22</v>
      </c>
      <c r="E1343" s="27" t="s">
        <v>52</v>
      </c>
      <c r="F1343" s="28" t="n">
        <v>2691</v>
      </c>
      <c r="G1343" s="29" t="n">
        <v>2200</v>
      </c>
      <c r="H1343" s="29" t="n">
        <f aca="false">F1343*G1343</f>
        <v>5920200</v>
      </c>
    </row>
    <row r="1344" customFormat="false" ht="15" hidden="false" customHeight="false" outlineLevel="0" collapsed="false">
      <c r="A1344" s="27" t="n">
        <v>2025</v>
      </c>
      <c r="B1344" s="27" t="n">
        <v>2</v>
      </c>
      <c r="C1344" s="27" t="s">
        <v>42</v>
      </c>
      <c r="D1344" s="27" t="s">
        <v>22</v>
      </c>
      <c r="E1344" s="27" t="s">
        <v>54</v>
      </c>
      <c r="F1344" s="28" t="n">
        <v>1898</v>
      </c>
      <c r="G1344" s="29" t="n">
        <v>2220</v>
      </c>
      <c r="H1344" s="29" t="n">
        <f aca="false">F1344*G1344</f>
        <v>4213560</v>
      </c>
    </row>
    <row r="1345" customFormat="false" ht="15" hidden="false" customHeight="false" outlineLevel="0" collapsed="false">
      <c r="A1345" s="27" t="n">
        <v>2025</v>
      </c>
      <c r="B1345" s="27" t="n">
        <v>2</v>
      </c>
      <c r="C1345" s="27" t="s">
        <v>42</v>
      </c>
      <c r="D1345" s="27" t="s">
        <v>22</v>
      </c>
      <c r="E1345" s="27" t="s">
        <v>56</v>
      </c>
      <c r="F1345" s="28" t="n">
        <v>2221</v>
      </c>
      <c r="G1345" s="29" t="n">
        <v>2210</v>
      </c>
      <c r="H1345" s="29" t="n">
        <f aca="false">F1345*G1345</f>
        <v>4908410</v>
      </c>
    </row>
    <row r="1346" customFormat="false" ht="15" hidden="false" customHeight="false" outlineLevel="0" collapsed="false">
      <c r="A1346" s="27" t="n">
        <v>2025</v>
      </c>
      <c r="B1346" s="27" t="n">
        <v>2</v>
      </c>
      <c r="C1346" s="27" t="s">
        <v>42</v>
      </c>
      <c r="D1346" s="27" t="s">
        <v>22</v>
      </c>
      <c r="E1346" s="27" t="s">
        <v>58</v>
      </c>
      <c r="F1346" s="28" t="n">
        <v>1773</v>
      </c>
      <c r="G1346" s="29" t="n">
        <v>2170</v>
      </c>
      <c r="H1346" s="29" t="n">
        <f aca="false">F1346*G1346</f>
        <v>3847410</v>
      </c>
    </row>
    <row r="1347" customFormat="false" ht="15" hidden="false" customHeight="false" outlineLevel="0" collapsed="false">
      <c r="A1347" s="27" t="n">
        <v>2025</v>
      </c>
      <c r="B1347" s="27" t="n">
        <v>2</v>
      </c>
      <c r="C1347" s="27" t="s">
        <v>42</v>
      </c>
      <c r="D1347" s="27" t="s">
        <v>24</v>
      </c>
      <c r="E1347" s="27" t="s">
        <v>50</v>
      </c>
      <c r="F1347" s="28" t="n">
        <v>2223</v>
      </c>
      <c r="G1347" s="29" t="n">
        <v>2040</v>
      </c>
      <c r="H1347" s="29" t="n">
        <f aca="false">F1347*G1347</f>
        <v>4534920</v>
      </c>
    </row>
    <row r="1348" customFormat="false" ht="15" hidden="false" customHeight="false" outlineLevel="0" collapsed="false">
      <c r="A1348" s="27" t="n">
        <v>2025</v>
      </c>
      <c r="B1348" s="27" t="n">
        <v>2</v>
      </c>
      <c r="C1348" s="27" t="s">
        <v>42</v>
      </c>
      <c r="D1348" s="27" t="s">
        <v>24</v>
      </c>
      <c r="E1348" s="27" t="s">
        <v>52</v>
      </c>
      <c r="F1348" s="28" t="n">
        <v>1479</v>
      </c>
      <c r="G1348" s="29" t="n">
        <v>2050</v>
      </c>
      <c r="H1348" s="29" t="n">
        <f aca="false">F1348*G1348</f>
        <v>3031950</v>
      </c>
    </row>
    <row r="1349" customFormat="false" ht="15" hidden="false" customHeight="false" outlineLevel="0" collapsed="false">
      <c r="A1349" s="27" t="n">
        <v>2025</v>
      </c>
      <c r="B1349" s="27" t="n">
        <v>2</v>
      </c>
      <c r="C1349" s="27" t="s">
        <v>42</v>
      </c>
      <c r="D1349" s="27" t="s">
        <v>24</v>
      </c>
      <c r="E1349" s="27" t="s">
        <v>54</v>
      </c>
      <c r="F1349" s="28" t="n">
        <v>1270</v>
      </c>
      <c r="G1349" s="29" t="n">
        <v>2080</v>
      </c>
      <c r="H1349" s="29" t="n">
        <f aca="false">F1349*G1349</f>
        <v>2641600</v>
      </c>
    </row>
    <row r="1350" customFormat="false" ht="15" hidden="false" customHeight="false" outlineLevel="0" collapsed="false">
      <c r="A1350" s="27" t="n">
        <v>2025</v>
      </c>
      <c r="B1350" s="27" t="n">
        <v>2</v>
      </c>
      <c r="C1350" s="27" t="s">
        <v>42</v>
      </c>
      <c r="D1350" s="27" t="s">
        <v>24</v>
      </c>
      <c r="E1350" s="27" t="s">
        <v>56</v>
      </c>
      <c r="F1350" s="28" t="n">
        <v>1445</v>
      </c>
      <c r="G1350" s="29" t="n">
        <v>2060</v>
      </c>
      <c r="H1350" s="29" t="n">
        <f aca="false">F1350*G1350</f>
        <v>2976700</v>
      </c>
    </row>
    <row r="1351" customFormat="false" ht="15" hidden="false" customHeight="false" outlineLevel="0" collapsed="false">
      <c r="A1351" s="27" t="n">
        <v>2025</v>
      </c>
      <c r="B1351" s="27" t="n">
        <v>2</v>
      </c>
      <c r="C1351" s="27" t="s">
        <v>42</v>
      </c>
      <c r="D1351" s="27" t="s">
        <v>24</v>
      </c>
      <c r="E1351" s="27" t="s">
        <v>58</v>
      </c>
      <c r="F1351" s="28" t="n">
        <v>984</v>
      </c>
      <c r="G1351" s="29" t="n">
        <v>2040</v>
      </c>
      <c r="H1351" s="29" t="n">
        <f aca="false">F1351*G1351</f>
        <v>2007360</v>
      </c>
    </row>
    <row r="1352" customFormat="false" ht="15" hidden="false" customHeight="false" outlineLevel="0" collapsed="false">
      <c r="A1352" s="27" t="n">
        <v>2025</v>
      </c>
      <c r="B1352" s="27" t="n">
        <v>2</v>
      </c>
      <c r="C1352" s="27" t="s">
        <v>42</v>
      </c>
      <c r="D1352" s="27" t="s">
        <v>26</v>
      </c>
      <c r="E1352" s="27" t="s">
        <v>50</v>
      </c>
      <c r="F1352" s="28" t="n">
        <v>1261</v>
      </c>
      <c r="G1352" s="29" t="n">
        <v>2450</v>
      </c>
      <c r="H1352" s="29" t="n">
        <f aca="false">F1352*G1352</f>
        <v>3089450</v>
      </c>
    </row>
    <row r="1353" customFormat="false" ht="15" hidden="false" customHeight="false" outlineLevel="0" collapsed="false">
      <c r="A1353" s="27" t="n">
        <v>2025</v>
      </c>
      <c r="B1353" s="27" t="n">
        <v>2</v>
      </c>
      <c r="C1353" s="27" t="s">
        <v>42</v>
      </c>
      <c r="D1353" s="27" t="s">
        <v>26</v>
      </c>
      <c r="E1353" s="27" t="s">
        <v>52</v>
      </c>
      <c r="F1353" s="28" t="n">
        <v>787</v>
      </c>
      <c r="G1353" s="29" t="n">
        <v>2510</v>
      </c>
      <c r="H1353" s="29" t="n">
        <f aca="false">F1353*G1353</f>
        <v>1975370</v>
      </c>
    </row>
    <row r="1354" customFormat="false" ht="15" hidden="false" customHeight="false" outlineLevel="0" collapsed="false">
      <c r="A1354" s="27" t="n">
        <v>2025</v>
      </c>
      <c r="B1354" s="27" t="n">
        <v>2</v>
      </c>
      <c r="C1354" s="27" t="s">
        <v>42</v>
      </c>
      <c r="D1354" s="27" t="s">
        <v>26</v>
      </c>
      <c r="E1354" s="27" t="s">
        <v>54</v>
      </c>
      <c r="F1354" s="28" t="n">
        <v>611</v>
      </c>
      <c r="G1354" s="29" t="n">
        <v>2480</v>
      </c>
      <c r="H1354" s="29" t="n">
        <f aca="false">F1354*G1354</f>
        <v>1515280</v>
      </c>
    </row>
    <row r="1355" customFormat="false" ht="15" hidden="false" customHeight="false" outlineLevel="0" collapsed="false">
      <c r="A1355" s="27" t="n">
        <v>2025</v>
      </c>
      <c r="B1355" s="27" t="n">
        <v>2</v>
      </c>
      <c r="C1355" s="27" t="s">
        <v>42</v>
      </c>
      <c r="D1355" s="27" t="s">
        <v>26</v>
      </c>
      <c r="E1355" s="27" t="s">
        <v>56</v>
      </c>
      <c r="F1355" s="28" t="n">
        <v>732</v>
      </c>
      <c r="G1355" s="29" t="n">
        <v>2410</v>
      </c>
      <c r="H1355" s="29" t="n">
        <f aca="false">F1355*G1355</f>
        <v>1764120</v>
      </c>
    </row>
    <row r="1356" customFormat="false" ht="15" hidden="false" customHeight="false" outlineLevel="0" collapsed="false">
      <c r="A1356" s="27" t="n">
        <v>2025</v>
      </c>
      <c r="B1356" s="27" t="n">
        <v>2</v>
      </c>
      <c r="C1356" s="27" t="s">
        <v>42</v>
      </c>
      <c r="D1356" s="27" t="s">
        <v>26</v>
      </c>
      <c r="E1356" s="27" t="s">
        <v>58</v>
      </c>
      <c r="F1356" s="28" t="n">
        <v>499</v>
      </c>
      <c r="G1356" s="29" t="n">
        <v>2480</v>
      </c>
      <c r="H1356" s="29" t="n">
        <f aca="false">F1356*G1356</f>
        <v>1237520</v>
      </c>
    </row>
    <row r="1357" customFormat="false" ht="15" hidden="false" customHeight="false" outlineLevel="0" collapsed="false">
      <c r="A1357" s="27" t="n">
        <v>2025</v>
      </c>
      <c r="B1357" s="27" t="n">
        <v>2</v>
      </c>
      <c r="C1357" s="27" t="s">
        <v>42</v>
      </c>
      <c r="D1357" s="27" t="s">
        <v>28</v>
      </c>
      <c r="E1357" s="27" t="s">
        <v>50</v>
      </c>
      <c r="F1357" s="28" t="n">
        <v>569</v>
      </c>
      <c r="G1357" s="29" t="n">
        <v>2340</v>
      </c>
      <c r="H1357" s="29" t="n">
        <f aca="false">F1357*G1357</f>
        <v>1331460</v>
      </c>
    </row>
    <row r="1358" customFormat="false" ht="15" hidden="false" customHeight="false" outlineLevel="0" collapsed="false">
      <c r="A1358" s="27" t="n">
        <v>2025</v>
      </c>
      <c r="B1358" s="27" t="n">
        <v>2</v>
      </c>
      <c r="C1358" s="27" t="s">
        <v>42</v>
      </c>
      <c r="D1358" s="27" t="s">
        <v>28</v>
      </c>
      <c r="E1358" s="27" t="s">
        <v>52</v>
      </c>
      <c r="F1358" s="28" t="n">
        <v>355</v>
      </c>
      <c r="G1358" s="29" t="n">
        <v>2300</v>
      </c>
      <c r="H1358" s="29" t="n">
        <f aca="false">F1358*G1358</f>
        <v>816500</v>
      </c>
    </row>
    <row r="1359" customFormat="false" ht="15" hidden="false" customHeight="false" outlineLevel="0" collapsed="false">
      <c r="A1359" s="27" t="n">
        <v>2025</v>
      </c>
      <c r="B1359" s="27" t="n">
        <v>2</v>
      </c>
      <c r="C1359" s="27" t="s">
        <v>42</v>
      </c>
      <c r="D1359" s="27" t="s">
        <v>28</v>
      </c>
      <c r="E1359" s="27" t="s">
        <v>54</v>
      </c>
      <c r="F1359" s="28" t="n">
        <v>283</v>
      </c>
      <c r="G1359" s="29" t="n">
        <v>2330</v>
      </c>
      <c r="H1359" s="29" t="n">
        <f aca="false">F1359*G1359</f>
        <v>659390</v>
      </c>
    </row>
    <row r="1360" customFormat="false" ht="15" hidden="false" customHeight="false" outlineLevel="0" collapsed="false">
      <c r="A1360" s="27" t="n">
        <v>2025</v>
      </c>
      <c r="B1360" s="27" t="n">
        <v>2</v>
      </c>
      <c r="C1360" s="27" t="s">
        <v>42</v>
      </c>
      <c r="D1360" s="27" t="s">
        <v>28</v>
      </c>
      <c r="E1360" s="27" t="s">
        <v>56</v>
      </c>
      <c r="F1360" s="28" t="n">
        <v>341</v>
      </c>
      <c r="G1360" s="29" t="n">
        <v>2330</v>
      </c>
      <c r="H1360" s="29" t="n">
        <f aca="false">F1360*G1360</f>
        <v>794530</v>
      </c>
    </row>
    <row r="1361" customFormat="false" ht="15" hidden="false" customHeight="false" outlineLevel="0" collapsed="false">
      <c r="A1361" s="27" t="n">
        <v>2025</v>
      </c>
      <c r="B1361" s="27" t="n">
        <v>2</v>
      </c>
      <c r="C1361" s="27" t="s">
        <v>42</v>
      </c>
      <c r="D1361" s="27" t="s">
        <v>28</v>
      </c>
      <c r="E1361" s="27" t="s">
        <v>58</v>
      </c>
      <c r="F1361" s="28" t="n">
        <v>244</v>
      </c>
      <c r="G1361" s="29" t="n">
        <v>2300</v>
      </c>
      <c r="H1361" s="29" t="n">
        <f aca="false">F1361*G1361</f>
        <v>561200</v>
      </c>
    </row>
    <row r="1362" customFormat="false" ht="15" hidden="false" customHeight="false" outlineLevel="0" collapsed="false">
      <c r="A1362" s="27" t="n">
        <v>2025</v>
      </c>
      <c r="B1362" s="27" t="n">
        <v>2</v>
      </c>
      <c r="C1362" s="27" t="s">
        <v>44</v>
      </c>
      <c r="D1362" s="27" t="s">
        <v>22</v>
      </c>
      <c r="E1362" s="27" t="s">
        <v>50</v>
      </c>
      <c r="F1362" s="28" t="n">
        <v>2794</v>
      </c>
      <c r="G1362" s="29" t="n">
        <v>4170</v>
      </c>
      <c r="H1362" s="29" t="n">
        <f aca="false">F1362*G1362</f>
        <v>11650980</v>
      </c>
    </row>
    <row r="1363" customFormat="false" ht="15" hidden="false" customHeight="false" outlineLevel="0" collapsed="false">
      <c r="A1363" s="27" t="n">
        <v>2025</v>
      </c>
      <c r="B1363" s="27" t="n">
        <v>2</v>
      </c>
      <c r="C1363" s="27" t="s">
        <v>44</v>
      </c>
      <c r="D1363" s="27" t="s">
        <v>22</v>
      </c>
      <c r="E1363" s="27" t="s">
        <v>52</v>
      </c>
      <c r="F1363" s="28" t="n">
        <v>1581</v>
      </c>
      <c r="G1363" s="29" t="n">
        <v>4120</v>
      </c>
      <c r="H1363" s="29" t="n">
        <f aca="false">F1363*G1363</f>
        <v>6513720</v>
      </c>
    </row>
    <row r="1364" customFormat="false" ht="15" hidden="false" customHeight="false" outlineLevel="0" collapsed="false">
      <c r="A1364" s="27" t="n">
        <v>2025</v>
      </c>
      <c r="B1364" s="27" t="n">
        <v>2</v>
      </c>
      <c r="C1364" s="27" t="s">
        <v>44</v>
      </c>
      <c r="D1364" s="27" t="s">
        <v>22</v>
      </c>
      <c r="E1364" s="27" t="s">
        <v>54</v>
      </c>
      <c r="F1364" s="28" t="n">
        <v>1344</v>
      </c>
      <c r="G1364" s="29" t="n">
        <v>4100</v>
      </c>
      <c r="H1364" s="29" t="n">
        <f aca="false">F1364*G1364</f>
        <v>5510400</v>
      </c>
    </row>
    <row r="1365" customFormat="false" ht="15" hidden="false" customHeight="false" outlineLevel="0" collapsed="false">
      <c r="A1365" s="27" t="n">
        <v>2025</v>
      </c>
      <c r="B1365" s="27" t="n">
        <v>2</v>
      </c>
      <c r="C1365" s="27" t="s">
        <v>44</v>
      </c>
      <c r="D1365" s="27" t="s">
        <v>22</v>
      </c>
      <c r="E1365" s="27" t="s">
        <v>56</v>
      </c>
      <c r="F1365" s="28" t="n">
        <v>1570</v>
      </c>
      <c r="G1365" s="29" t="n">
        <v>4110</v>
      </c>
      <c r="H1365" s="29" t="n">
        <f aca="false">F1365*G1365</f>
        <v>6452700</v>
      </c>
    </row>
    <row r="1366" customFormat="false" ht="15" hidden="false" customHeight="false" outlineLevel="0" collapsed="false">
      <c r="A1366" s="27" t="n">
        <v>2025</v>
      </c>
      <c r="B1366" s="27" t="n">
        <v>2</v>
      </c>
      <c r="C1366" s="27" t="s">
        <v>44</v>
      </c>
      <c r="D1366" s="27" t="s">
        <v>22</v>
      </c>
      <c r="E1366" s="27" t="s">
        <v>58</v>
      </c>
      <c r="F1366" s="28" t="n">
        <v>1229</v>
      </c>
      <c r="G1366" s="29" t="n">
        <v>4060</v>
      </c>
      <c r="H1366" s="29" t="n">
        <f aca="false">F1366*G1366</f>
        <v>4989740</v>
      </c>
    </row>
    <row r="1367" customFormat="false" ht="15" hidden="false" customHeight="false" outlineLevel="0" collapsed="false">
      <c r="A1367" s="27" t="n">
        <v>2025</v>
      </c>
      <c r="B1367" s="27" t="n">
        <v>2</v>
      </c>
      <c r="C1367" s="27" t="s">
        <v>44</v>
      </c>
      <c r="D1367" s="27" t="s">
        <v>24</v>
      </c>
      <c r="E1367" s="27" t="s">
        <v>50</v>
      </c>
      <c r="F1367" s="28" t="n">
        <v>1510</v>
      </c>
      <c r="G1367" s="29" t="n">
        <v>3780</v>
      </c>
      <c r="H1367" s="29" t="n">
        <f aca="false">F1367*G1367</f>
        <v>5707800</v>
      </c>
    </row>
    <row r="1368" customFormat="false" ht="15" hidden="false" customHeight="false" outlineLevel="0" collapsed="false">
      <c r="A1368" s="27" t="n">
        <v>2025</v>
      </c>
      <c r="B1368" s="27" t="n">
        <v>2</v>
      </c>
      <c r="C1368" s="27" t="s">
        <v>44</v>
      </c>
      <c r="D1368" s="27" t="s">
        <v>24</v>
      </c>
      <c r="E1368" s="27" t="s">
        <v>52</v>
      </c>
      <c r="F1368" s="28" t="n">
        <v>1089</v>
      </c>
      <c r="G1368" s="29" t="n">
        <v>3810</v>
      </c>
      <c r="H1368" s="29" t="n">
        <f aca="false">F1368*G1368</f>
        <v>4149090</v>
      </c>
    </row>
    <row r="1369" customFormat="false" ht="15" hidden="false" customHeight="false" outlineLevel="0" collapsed="false">
      <c r="A1369" s="27" t="n">
        <v>2025</v>
      </c>
      <c r="B1369" s="27" t="n">
        <v>2</v>
      </c>
      <c r="C1369" s="27" t="s">
        <v>44</v>
      </c>
      <c r="D1369" s="27" t="s">
        <v>24</v>
      </c>
      <c r="E1369" s="27" t="s">
        <v>54</v>
      </c>
      <c r="F1369" s="28" t="n">
        <v>801</v>
      </c>
      <c r="G1369" s="29" t="n">
        <v>3810</v>
      </c>
      <c r="H1369" s="29" t="n">
        <f aca="false">F1369*G1369</f>
        <v>3051810</v>
      </c>
    </row>
    <row r="1370" customFormat="false" ht="15" hidden="false" customHeight="false" outlineLevel="0" collapsed="false">
      <c r="A1370" s="27" t="n">
        <v>2025</v>
      </c>
      <c r="B1370" s="27" t="n">
        <v>2</v>
      </c>
      <c r="C1370" s="27" t="s">
        <v>44</v>
      </c>
      <c r="D1370" s="27" t="s">
        <v>24</v>
      </c>
      <c r="E1370" s="27" t="s">
        <v>56</v>
      </c>
      <c r="F1370" s="28" t="n">
        <v>907</v>
      </c>
      <c r="G1370" s="29" t="n">
        <v>3820</v>
      </c>
      <c r="H1370" s="29" t="n">
        <f aca="false">F1370*G1370</f>
        <v>3464740</v>
      </c>
    </row>
    <row r="1371" customFormat="false" ht="15" hidden="false" customHeight="false" outlineLevel="0" collapsed="false">
      <c r="A1371" s="27" t="n">
        <v>2025</v>
      </c>
      <c r="B1371" s="27" t="n">
        <v>2</v>
      </c>
      <c r="C1371" s="27" t="s">
        <v>44</v>
      </c>
      <c r="D1371" s="27" t="s">
        <v>24</v>
      </c>
      <c r="E1371" s="27" t="s">
        <v>58</v>
      </c>
      <c r="F1371" s="28" t="n">
        <v>732</v>
      </c>
      <c r="G1371" s="29" t="n">
        <v>3880</v>
      </c>
      <c r="H1371" s="29" t="n">
        <f aca="false">F1371*G1371</f>
        <v>2840160</v>
      </c>
    </row>
    <row r="1372" customFormat="false" ht="15" hidden="false" customHeight="false" outlineLevel="0" collapsed="false">
      <c r="A1372" s="27" t="n">
        <v>2025</v>
      </c>
      <c r="B1372" s="27" t="n">
        <v>2</v>
      </c>
      <c r="C1372" s="27" t="s">
        <v>44</v>
      </c>
      <c r="D1372" s="27" t="s">
        <v>26</v>
      </c>
      <c r="E1372" s="27" t="s">
        <v>50</v>
      </c>
      <c r="F1372" s="28" t="n">
        <v>782</v>
      </c>
      <c r="G1372" s="29" t="n">
        <v>4640</v>
      </c>
      <c r="H1372" s="29" t="n">
        <f aca="false">F1372*G1372</f>
        <v>3628480</v>
      </c>
    </row>
    <row r="1373" customFormat="false" ht="15" hidden="false" customHeight="false" outlineLevel="0" collapsed="false">
      <c r="A1373" s="27" t="n">
        <v>2025</v>
      </c>
      <c r="B1373" s="27" t="n">
        <v>2</v>
      </c>
      <c r="C1373" s="27" t="s">
        <v>44</v>
      </c>
      <c r="D1373" s="27" t="s">
        <v>26</v>
      </c>
      <c r="E1373" s="27" t="s">
        <v>52</v>
      </c>
      <c r="F1373" s="28" t="n">
        <v>489</v>
      </c>
      <c r="G1373" s="29" t="n">
        <v>4530</v>
      </c>
      <c r="H1373" s="29" t="n">
        <f aca="false">F1373*G1373</f>
        <v>2215170</v>
      </c>
    </row>
    <row r="1374" customFormat="false" ht="15" hidden="false" customHeight="false" outlineLevel="0" collapsed="false">
      <c r="A1374" s="27" t="n">
        <v>2025</v>
      </c>
      <c r="B1374" s="27" t="n">
        <v>2</v>
      </c>
      <c r="C1374" s="27" t="s">
        <v>44</v>
      </c>
      <c r="D1374" s="27" t="s">
        <v>26</v>
      </c>
      <c r="E1374" s="27" t="s">
        <v>54</v>
      </c>
      <c r="F1374" s="28" t="n">
        <v>429</v>
      </c>
      <c r="G1374" s="29" t="n">
        <v>4660</v>
      </c>
      <c r="H1374" s="29" t="n">
        <f aca="false">F1374*G1374</f>
        <v>1999140</v>
      </c>
    </row>
    <row r="1375" customFormat="false" ht="15" hidden="false" customHeight="false" outlineLevel="0" collapsed="false">
      <c r="A1375" s="27" t="n">
        <v>2025</v>
      </c>
      <c r="B1375" s="27" t="n">
        <v>2</v>
      </c>
      <c r="C1375" s="27" t="s">
        <v>44</v>
      </c>
      <c r="D1375" s="27" t="s">
        <v>26</v>
      </c>
      <c r="E1375" s="27" t="s">
        <v>56</v>
      </c>
      <c r="F1375" s="28" t="n">
        <v>510</v>
      </c>
      <c r="G1375" s="29" t="n">
        <v>4590</v>
      </c>
      <c r="H1375" s="29" t="n">
        <f aca="false">F1375*G1375</f>
        <v>2340900</v>
      </c>
    </row>
    <row r="1376" customFormat="false" ht="15" hidden="false" customHeight="false" outlineLevel="0" collapsed="false">
      <c r="A1376" s="27" t="n">
        <v>2025</v>
      </c>
      <c r="B1376" s="27" t="n">
        <v>2</v>
      </c>
      <c r="C1376" s="27" t="s">
        <v>44</v>
      </c>
      <c r="D1376" s="27" t="s">
        <v>26</v>
      </c>
      <c r="E1376" s="27" t="s">
        <v>58</v>
      </c>
      <c r="F1376" s="28" t="n">
        <v>329</v>
      </c>
      <c r="G1376" s="29" t="n">
        <v>4640</v>
      </c>
      <c r="H1376" s="29" t="n">
        <f aca="false">F1376*G1376</f>
        <v>1526560</v>
      </c>
    </row>
    <row r="1377" customFormat="false" ht="15" hidden="false" customHeight="false" outlineLevel="0" collapsed="false">
      <c r="A1377" s="27" t="n">
        <v>2025</v>
      </c>
      <c r="B1377" s="27" t="n">
        <v>2</v>
      </c>
      <c r="C1377" s="27" t="s">
        <v>44</v>
      </c>
      <c r="D1377" s="27" t="s">
        <v>28</v>
      </c>
      <c r="E1377" s="27" t="s">
        <v>50</v>
      </c>
      <c r="F1377" s="28" t="n">
        <v>393</v>
      </c>
      <c r="G1377" s="29" t="n">
        <v>4300</v>
      </c>
      <c r="H1377" s="29" t="n">
        <f aca="false">F1377*G1377</f>
        <v>1689900</v>
      </c>
    </row>
    <row r="1378" customFormat="false" ht="15" hidden="false" customHeight="false" outlineLevel="0" collapsed="false">
      <c r="A1378" s="27" t="n">
        <v>2025</v>
      </c>
      <c r="B1378" s="27" t="n">
        <v>2</v>
      </c>
      <c r="C1378" s="27" t="s">
        <v>44</v>
      </c>
      <c r="D1378" s="27" t="s">
        <v>28</v>
      </c>
      <c r="E1378" s="27" t="s">
        <v>52</v>
      </c>
      <c r="F1378" s="28" t="n">
        <v>221</v>
      </c>
      <c r="G1378" s="29" t="n">
        <v>4330</v>
      </c>
      <c r="H1378" s="29" t="n">
        <f aca="false">F1378*G1378</f>
        <v>956930</v>
      </c>
    </row>
    <row r="1379" customFormat="false" ht="15" hidden="false" customHeight="false" outlineLevel="0" collapsed="false">
      <c r="A1379" s="27" t="n">
        <v>2025</v>
      </c>
      <c r="B1379" s="27" t="n">
        <v>2</v>
      </c>
      <c r="C1379" s="27" t="s">
        <v>44</v>
      </c>
      <c r="D1379" s="27" t="s">
        <v>28</v>
      </c>
      <c r="E1379" s="27" t="s">
        <v>54</v>
      </c>
      <c r="F1379" s="28" t="n">
        <v>203</v>
      </c>
      <c r="G1379" s="29" t="n">
        <v>4270</v>
      </c>
      <c r="H1379" s="29" t="n">
        <f aca="false">F1379*G1379</f>
        <v>866810</v>
      </c>
    </row>
    <row r="1380" customFormat="false" ht="15" hidden="false" customHeight="false" outlineLevel="0" collapsed="false">
      <c r="A1380" s="27" t="n">
        <v>2025</v>
      </c>
      <c r="B1380" s="27" t="n">
        <v>2</v>
      </c>
      <c r="C1380" s="27" t="s">
        <v>44</v>
      </c>
      <c r="D1380" s="27" t="s">
        <v>28</v>
      </c>
      <c r="E1380" s="27" t="s">
        <v>56</v>
      </c>
      <c r="F1380" s="28" t="n">
        <v>236</v>
      </c>
      <c r="G1380" s="29" t="n">
        <v>4330</v>
      </c>
      <c r="H1380" s="29" t="n">
        <f aca="false">F1380*G1380</f>
        <v>1021880</v>
      </c>
    </row>
    <row r="1381" customFormat="false" ht="15" hidden="false" customHeight="false" outlineLevel="0" collapsed="false">
      <c r="A1381" s="27" t="n">
        <v>2025</v>
      </c>
      <c r="B1381" s="27" t="n">
        <v>2</v>
      </c>
      <c r="C1381" s="27" t="s">
        <v>44</v>
      </c>
      <c r="D1381" s="27" t="s">
        <v>28</v>
      </c>
      <c r="E1381" s="27" t="s">
        <v>58</v>
      </c>
      <c r="F1381" s="28" t="n">
        <v>162</v>
      </c>
      <c r="G1381" s="29" t="n">
        <v>4360</v>
      </c>
      <c r="H1381" s="29" t="n">
        <f aca="false">F1381*G1381</f>
        <v>706320</v>
      </c>
    </row>
    <row r="1382" customFormat="false" ht="15" hidden="false" customHeight="false" outlineLevel="0" collapsed="false">
      <c r="A1382" s="27" t="n">
        <v>2025</v>
      </c>
      <c r="B1382" s="27" t="n">
        <v>2</v>
      </c>
      <c r="C1382" s="27" t="s">
        <v>45</v>
      </c>
      <c r="D1382" s="27" t="s">
        <v>22</v>
      </c>
      <c r="E1382" s="27" t="s">
        <v>50</v>
      </c>
      <c r="F1382" s="28" t="n">
        <v>2742</v>
      </c>
      <c r="G1382" s="29" t="n">
        <v>2490</v>
      </c>
      <c r="H1382" s="29" t="n">
        <f aca="false">F1382*G1382</f>
        <v>6827580</v>
      </c>
    </row>
    <row r="1383" customFormat="false" ht="15" hidden="false" customHeight="false" outlineLevel="0" collapsed="false">
      <c r="A1383" s="27" t="n">
        <v>2025</v>
      </c>
      <c r="B1383" s="27" t="n">
        <v>2</v>
      </c>
      <c r="C1383" s="27" t="s">
        <v>45</v>
      </c>
      <c r="D1383" s="27" t="s">
        <v>22</v>
      </c>
      <c r="E1383" s="27" t="s">
        <v>52</v>
      </c>
      <c r="F1383" s="28" t="n">
        <v>1728</v>
      </c>
      <c r="G1383" s="29" t="n">
        <v>2550</v>
      </c>
      <c r="H1383" s="29" t="n">
        <f aca="false">F1383*G1383</f>
        <v>4406400</v>
      </c>
    </row>
    <row r="1384" customFormat="false" ht="15" hidden="false" customHeight="false" outlineLevel="0" collapsed="false">
      <c r="A1384" s="27" t="n">
        <v>2025</v>
      </c>
      <c r="B1384" s="27" t="n">
        <v>2</v>
      </c>
      <c r="C1384" s="27" t="s">
        <v>45</v>
      </c>
      <c r="D1384" s="27" t="s">
        <v>22</v>
      </c>
      <c r="E1384" s="27" t="s">
        <v>54</v>
      </c>
      <c r="F1384" s="28" t="n">
        <v>1382</v>
      </c>
      <c r="G1384" s="29" t="n">
        <v>2510</v>
      </c>
      <c r="H1384" s="29" t="n">
        <f aca="false">F1384*G1384</f>
        <v>3468820</v>
      </c>
    </row>
    <row r="1385" customFormat="false" ht="15" hidden="false" customHeight="false" outlineLevel="0" collapsed="false">
      <c r="A1385" s="27" t="n">
        <v>2025</v>
      </c>
      <c r="B1385" s="27" t="n">
        <v>2</v>
      </c>
      <c r="C1385" s="27" t="s">
        <v>45</v>
      </c>
      <c r="D1385" s="27" t="s">
        <v>22</v>
      </c>
      <c r="E1385" s="27" t="s">
        <v>56</v>
      </c>
      <c r="F1385" s="28" t="n">
        <v>1533</v>
      </c>
      <c r="G1385" s="29" t="n">
        <v>2580</v>
      </c>
      <c r="H1385" s="29" t="n">
        <f aca="false">F1385*G1385</f>
        <v>3955140</v>
      </c>
    </row>
    <row r="1386" customFormat="false" ht="15" hidden="false" customHeight="false" outlineLevel="0" collapsed="false">
      <c r="A1386" s="27" t="n">
        <v>2025</v>
      </c>
      <c r="B1386" s="27" t="n">
        <v>2</v>
      </c>
      <c r="C1386" s="27" t="s">
        <v>45</v>
      </c>
      <c r="D1386" s="27" t="s">
        <v>22</v>
      </c>
      <c r="E1386" s="27" t="s">
        <v>58</v>
      </c>
      <c r="F1386" s="28" t="n">
        <v>1202</v>
      </c>
      <c r="G1386" s="29" t="n">
        <v>2550</v>
      </c>
      <c r="H1386" s="29" t="n">
        <f aca="false">F1386*G1386</f>
        <v>3065100</v>
      </c>
    </row>
    <row r="1387" customFormat="false" ht="15" hidden="false" customHeight="false" outlineLevel="0" collapsed="false">
      <c r="A1387" s="27" t="n">
        <v>2025</v>
      </c>
      <c r="B1387" s="27" t="n">
        <v>2</v>
      </c>
      <c r="C1387" s="27" t="s">
        <v>45</v>
      </c>
      <c r="D1387" s="27" t="s">
        <v>24</v>
      </c>
      <c r="E1387" s="27" t="s">
        <v>50</v>
      </c>
      <c r="F1387" s="28" t="n">
        <v>1724</v>
      </c>
      <c r="G1387" s="29" t="n">
        <v>2370</v>
      </c>
      <c r="H1387" s="29" t="n">
        <f aca="false">F1387*G1387</f>
        <v>4085880</v>
      </c>
    </row>
    <row r="1388" customFormat="false" ht="15" hidden="false" customHeight="false" outlineLevel="0" collapsed="false">
      <c r="A1388" s="27" t="n">
        <v>2025</v>
      </c>
      <c r="B1388" s="27" t="n">
        <v>2</v>
      </c>
      <c r="C1388" s="27" t="s">
        <v>45</v>
      </c>
      <c r="D1388" s="27" t="s">
        <v>24</v>
      </c>
      <c r="E1388" s="27" t="s">
        <v>52</v>
      </c>
      <c r="F1388" s="28" t="n">
        <v>1015</v>
      </c>
      <c r="G1388" s="29" t="n">
        <v>2350</v>
      </c>
      <c r="H1388" s="29" t="n">
        <f aca="false">F1388*G1388</f>
        <v>2385250</v>
      </c>
    </row>
    <row r="1389" customFormat="false" ht="15" hidden="false" customHeight="false" outlineLevel="0" collapsed="false">
      <c r="A1389" s="27" t="n">
        <v>2025</v>
      </c>
      <c r="B1389" s="27" t="n">
        <v>2</v>
      </c>
      <c r="C1389" s="27" t="s">
        <v>45</v>
      </c>
      <c r="D1389" s="27" t="s">
        <v>24</v>
      </c>
      <c r="E1389" s="27" t="s">
        <v>54</v>
      </c>
      <c r="F1389" s="28" t="n">
        <v>805</v>
      </c>
      <c r="G1389" s="29" t="n">
        <v>2420</v>
      </c>
      <c r="H1389" s="29" t="n">
        <f aca="false">F1389*G1389</f>
        <v>1948100</v>
      </c>
    </row>
    <row r="1390" customFormat="false" ht="15" hidden="false" customHeight="false" outlineLevel="0" collapsed="false">
      <c r="A1390" s="27" t="n">
        <v>2025</v>
      </c>
      <c r="B1390" s="27" t="n">
        <v>2</v>
      </c>
      <c r="C1390" s="27" t="s">
        <v>45</v>
      </c>
      <c r="D1390" s="27" t="s">
        <v>24</v>
      </c>
      <c r="E1390" s="27" t="s">
        <v>56</v>
      </c>
      <c r="F1390" s="28" t="n">
        <v>1004</v>
      </c>
      <c r="G1390" s="29" t="n">
        <v>2340</v>
      </c>
      <c r="H1390" s="29" t="n">
        <f aca="false">F1390*G1390</f>
        <v>2349360</v>
      </c>
    </row>
    <row r="1391" customFormat="false" ht="15" hidden="false" customHeight="false" outlineLevel="0" collapsed="false">
      <c r="A1391" s="27" t="n">
        <v>2025</v>
      </c>
      <c r="B1391" s="27" t="n">
        <v>2</v>
      </c>
      <c r="C1391" s="27" t="s">
        <v>45</v>
      </c>
      <c r="D1391" s="27" t="s">
        <v>24</v>
      </c>
      <c r="E1391" s="27" t="s">
        <v>58</v>
      </c>
      <c r="F1391" s="28" t="n">
        <v>684</v>
      </c>
      <c r="G1391" s="29" t="n">
        <v>2330</v>
      </c>
      <c r="H1391" s="29" t="n">
        <f aca="false">F1391*G1391</f>
        <v>1593720</v>
      </c>
    </row>
    <row r="1392" customFormat="false" ht="15" hidden="false" customHeight="false" outlineLevel="0" collapsed="false">
      <c r="A1392" s="27" t="n">
        <v>2025</v>
      </c>
      <c r="B1392" s="27" t="n">
        <v>2</v>
      </c>
      <c r="C1392" s="27" t="s">
        <v>45</v>
      </c>
      <c r="D1392" s="27" t="s">
        <v>26</v>
      </c>
      <c r="E1392" s="27" t="s">
        <v>50</v>
      </c>
      <c r="F1392" s="28" t="n">
        <v>901</v>
      </c>
      <c r="G1392" s="29" t="n">
        <v>2820</v>
      </c>
      <c r="H1392" s="29" t="n">
        <f aca="false">F1392*G1392</f>
        <v>2540820</v>
      </c>
    </row>
    <row r="1393" customFormat="false" ht="15" hidden="false" customHeight="false" outlineLevel="0" collapsed="false">
      <c r="A1393" s="27" t="n">
        <v>2025</v>
      </c>
      <c r="B1393" s="27" t="n">
        <v>2</v>
      </c>
      <c r="C1393" s="27" t="s">
        <v>45</v>
      </c>
      <c r="D1393" s="27" t="s">
        <v>26</v>
      </c>
      <c r="E1393" s="27" t="s">
        <v>52</v>
      </c>
      <c r="F1393" s="28" t="n">
        <v>537</v>
      </c>
      <c r="G1393" s="29" t="n">
        <v>2870</v>
      </c>
      <c r="H1393" s="29" t="n">
        <f aca="false">F1393*G1393</f>
        <v>1541190</v>
      </c>
    </row>
    <row r="1394" customFormat="false" ht="15" hidden="false" customHeight="false" outlineLevel="0" collapsed="false">
      <c r="A1394" s="27" t="n">
        <v>2025</v>
      </c>
      <c r="B1394" s="27" t="n">
        <v>2</v>
      </c>
      <c r="C1394" s="27" t="s">
        <v>45</v>
      </c>
      <c r="D1394" s="27" t="s">
        <v>26</v>
      </c>
      <c r="E1394" s="27" t="s">
        <v>54</v>
      </c>
      <c r="F1394" s="28" t="n">
        <v>427</v>
      </c>
      <c r="G1394" s="29" t="n">
        <v>2840</v>
      </c>
      <c r="H1394" s="29" t="n">
        <f aca="false">F1394*G1394</f>
        <v>1212680</v>
      </c>
    </row>
    <row r="1395" customFormat="false" ht="15" hidden="false" customHeight="false" outlineLevel="0" collapsed="false">
      <c r="A1395" s="27" t="n">
        <v>2025</v>
      </c>
      <c r="B1395" s="27" t="n">
        <v>2</v>
      </c>
      <c r="C1395" s="27" t="s">
        <v>45</v>
      </c>
      <c r="D1395" s="27" t="s">
        <v>26</v>
      </c>
      <c r="E1395" s="27" t="s">
        <v>56</v>
      </c>
      <c r="F1395" s="28" t="n">
        <v>498</v>
      </c>
      <c r="G1395" s="29" t="n">
        <v>2830</v>
      </c>
      <c r="H1395" s="29" t="n">
        <f aca="false">F1395*G1395</f>
        <v>1409340</v>
      </c>
    </row>
    <row r="1396" customFormat="false" ht="15" hidden="false" customHeight="false" outlineLevel="0" collapsed="false">
      <c r="A1396" s="27" t="n">
        <v>2025</v>
      </c>
      <c r="B1396" s="27" t="n">
        <v>2</v>
      </c>
      <c r="C1396" s="27" t="s">
        <v>45</v>
      </c>
      <c r="D1396" s="27" t="s">
        <v>26</v>
      </c>
      <c r="E1396" s="27" t="s">
        <v>58</v>
      </c>
      <c r="F1396" s="28" t="n">
        <v>330</v>
      </c>
      <c r="G1396" s="29" t="n">
        <v>2820</v>
      </c>
      <c r="H1396" s="29" t="n">
        <f aca="false">F1396*G1396</f>
        <v>930600</v>
      </c>
    </row>
    <row r="1397" customFormat="false" ht="15" hidden="false" customHeight="false" outlineLevel="0" collapsed="false">
      <c r="A1397" s="27" t="n">
        <v>2025</v>
      </c>
      <c r="B1397" s="27" t="n">
        <v>2</v>
      </c>
      <c r="C1397" s="27" t="s">
        <v>45</v>
      </c>
      <c r="D1397" s="27" t="s">
        <v>28</v>
      </c>
      <c r="E1397" s="27" t="s">
        <v>50</v>
      </c>
      <c r="F1397" s="28" t="n">
        <v>425</v>
      </c>
      <c r="G1397" s="29" t="n">
        <v>2660</v>
      </c>
      <c r="H1397" s="29" t="n">
        <f aca="false">F1397*G1397</f>
        <v>1130500</v>
      </c>
    </row>
    <row r="1398" customFormat="false" ht="15" hidden="false" customHeight="false" outlineLevel="0" collapsed="false">
      <c r="A1398" s="27" t="n">
        <v>2025</v>
      </c>
      <c r="B1398" s="27" t="n">
        <v>2</v>
      </c>
      <c r="C1398" s="27" t="s">
        <v>45</v>
      </c>
      <c r="D1398" s="27" t="s">
        <v>28</v>
      </c>
      <c r="E1398" s="27" t="s">
        <v>52</v>
      </c>
      <c r="F1398" s="28" t="n">
        <v>237</v>
      </c>
      <c r="G1398" s="29" t="n">
        <v>2640</v>
      </c>
      <c r="H1398" s="29" t="n">
        <f aca="false">F1398*G1398</f>
        <v>625680</v>
      </c>
    </row>
    <row r="1399" customFormat="false" ht="15" hidden="false" customHeight="false" outlineLevel="0" collapsed="false">
      <c r="A1399" s="27" t="n">
        <v>2025</v>
      </c>
      <c r="B1399" s="27" t="n">
        <v>2</v>
      </c>
      <c r="C1399" s="27" t="s">
        <v>45</v>
      </c>
      <c r="D1399" s="27" t="s">
        <v>28</v>
      </c>
      <c r="E1399" s="27" t="s">
        <v>54</v>
      </c>
      <c r="F1399" s="28" t="n">
        <v>209</v>
      </c>
      <c r="G1399" s="29" t="n">
        <v>2680</v>
      </c>
      <c r="H1399" s="29" t="n">
        <f aca="false">F1399*G1399</f>
        <v>560120</v>
      </c>
    </row>
    <row r="1400" customFormat="false" ht="15" hidden="false" customHeight="false" outlineLevel="0" collapsed="false">
      <c r="A1400" s="27" t="n">
        <v>2025</v>
      </c>
      <c r="B1400" s="27" t="n">
        <v>2</v>
      </c>
      <c r="C1400" s="27" t="s">
        <v>45</v>
      </c>
      <c r="D1400" s="27" t="s">
        <v>28</v>
      </c>
      <c r="E1400" s="27" t="s">
        <v>56</v>
      </c>
      <c r="F1400" s="28" t="n">
        <v>241</v>
      </c>
      <c r="G1400" s="29" t="n">
        <v>2650</v>
      </c>
      <c r="H1400" s="29" t="n">
        <f aca="false">F1400*G1400</f>
        <v>638650</v>
      </c>
    </row>
    <row r="1401" customFormat="false" ht="15" hidden="false" customHeight="false" outlineLevel="0" collapsed="false">
      <c r="A1401" s="27" t="n">
        <v>2025</v>
      </c>
      <c r="B1401" s="27" t="n">
        <v>2</v>
      </c>
      <c r="C1401" s="27" t="s">
        <v>45</v>
      </c>
      <c r="D1401" s="27" t="s">
        <v>28</v>
      </c>
      <c r="E1401" s="27" t="s">
        <v>58</v>
      </c>
      <c r="F1401" s="28" t="n">
        <v>165</v>
      </c>
      <c r="G1401" s="29" t="n">
        <v>2640</v>
      </c>
      <c r="H1401" s="29" t="n">
        <f aca="false">F1401*G1401</f>
        <v>435600</v>
      </c>
    </row>
    <row r="1402" customFormat="false" ht="15" hidden="false" customHeight="false" outlineLevel="0" collapsed="false">
      <c r="A1402" s="27" t="n">
        <v>2025</v>
      </c>
      <c r="B1402" s="27" t="n">
        <v>3</v>
      </c>
      <c r="C1402" s="27" t="s">
        <v>38</v>
      </c>
      <c r="D1402" s="27" t="s">
        <v>22</v>
      </c>
      <c r="E1402" s="27" t="s">
        <v>50</v>
      </c>
      <c r="F1402" s="28" t="n">
        <v>7719</v>
      </c>
      <c r="G1402" s="29" t="n">
        <v>2770</v>
      </c>
      <c r="H1402" s="29" t="n">
        <f aca="false">F1402*G1402</f>
        <v>21381630</v>
      </c>
    </row>
    <row r="1403" customFormat="false" ht="15" hidden="false" customHeight="false" outlineLevel="0" collapsed="false">
      <c r="A1403" s="27" t="n">
        <v>2025</v>
      </c>
      <c r="B1403" s="27" t="n">
        <v>3</v>
      </c>
      <c r="C1403" s="27" t="s">
        <v>38</v>
      </c>
      <c r="D1403" s="27" t="s">
        <v>22</v>
      </c>
      <c r="E1403" s="27" t="s">
        <v>52</v>
      </c>
      <c r="F1403" s="28" t="n">
        <v>5101</v>
      </c>
      <c r="G1403" s="29" t="n">
        <v>2720</v>
      </c>
      <c r="H1403" s="29" t="n">
        <f aca="false">F1403*G1403</f>
        <v>13874720</v>
      </c>
    </row>
    <row r="1404" customFormat="false" ht="15" hidden="false" customHeight="false" outlineLevel="0" collapsed="false">
      <c r="A1404" s="27" t="n">
        <v>2025</v>
      </c>
      <c r="B1404" s="27" t="n">
        <v>3</v>
      </c>
      <c r="C1404" s="27" t="s">
        <v>38</v>
      </c>
      <c r="D1404" s="27" t="s">
        <v>22</v>
      </c>
      <c r="E1404" s="27" t="s">
        <v>54</v>
      </c>
      <c r="F1404" s="28" t="n">
        <v>3743</v>
      </c>
      <c r="G1404" s="29" t="n">
        <v>2750</v>
      </c>
      <c r="H1404" s="29" t="n">
        <f aca="false">F1404*G1404</f>
        <v>10293250</v>
      </c>
    </row>
    <row r="1405" customFormat="false" ht="15" hidden="false" customHeight="false" outlineLevel="0" collapsed="false">
      <c r="A1405" s="27" t="n">
        <v>2025</v>
      </c>
      <c r="B1405" s="27" t="n">
        <v>3</v>
      </c>
      <c r="C1405" s="27" t="s">
        <v>38</v>
      </c>
      <c r="D1405" s="27" t="s">
        <v>22</v>
      </c>
      <c r="E1405" s="27" t="s">
        <v>56</v>
      </c>
      <c r="F1405" s="28" t="n">
        <v>5044</v>
      </c>
      <c r="G1405" s="29" t="n">
        <v>2690</v>
      </c>
      <c r="H1405" s="29" t="n">
        <f aca="false">F1405*G1405</f>
        <v>13568360</v>
      </c>
    </row>
    <row r="1406" customFormat="false" ht="15" hidden="false" customHeight="false" outlineLevel="0" collapsed="false">
      <c r="A1406" s="27" t="n">
        <v>2025</v>
      </c>
      <c r="B1406" s="27" t="n">
        <v>3</v>
      </c>
      <c r="C1406" s="27" t="s">
        <v>38</v>
      </c>
      <c r="D1406" s="27" t="s">
        <v>22</v>
      </c>
      <c r="E1406" s="27" t="s">
        <v>58</v>
      </c>
      <c r="F1406" s="28" t="n">
        <v>3221</v>
      </c>
      <c r="G1406" s="29" t="n">
        <v>2710</v>
      </c>
      <c r="H1406" s="29" t="n">
        <f aca="false">F1406*G1406</f>
        <v>8728910</v>
      </c>
    </row>
    <row r="1407" customFormat="false" ht="15" hidden="false" customHeight="false" outlineLevel="0" collapsed="false">
      <c r="A1407" s="27" t="n">
        <v>2025</v>
      </c>
      <c r="B1407" s="27" t="n">
        <v>3</v>
      </c>
      <c r="C1407" s="27" t="s">
        <v>38</v>
      </c>
      <c r="D1407" s="27" t="s">
        <v>24</v>
      </c>
      <c r="E1407" s="27" t="s">
        <v>50</v>
      </c>
      <c r="F1407" s="28" t="n">
        <v>4384</v>
      </c>
      <c r="G1407" s="29" t="n">
        <v>2540</v>
      </c>
      <c r="H1407" s="29" t="n">
        <f aca="false">F1407*G1407</f>
        <v>11135360</v>
      </c>
    </row>
    <row r="1408" customFormat="false" ht="15" hidden="false" customHeight="false" outlineLevel="0" collapsed="false">
      <c r="A1408" s="27" t="n">
        <v>2025</v>
      </c>
      <c r="B1408" s="27" t="n">
        <v>3</v>
      </c>
      <c r="C1408" s="27" t="s">
        <v>38</v>
      </c>
      <c r="D1408" s="27" t="s">
        <v>24</v>
      </c>
      <c r="E1408" s="27" t="s">
        <v>52</v>
      </c>
      <c r="F1408" s="28" t="n">
        <v>2770</v>
      </c>
      <c r="G1408" s="29" t="n">
        <v>2540</v>
      </c>
      <c r="H1408" s="29" t="n">
        <f aca="false">F1408*G1408</f>
        <v>7035800</v>
      </c>
    </row>
    <row r="1409" customFormat="false" ht="15" hidden="false" customHeight="false" outlineLevel="0" collapsed="false">
      <c r="A1409" s="27" t="n">
        <v>2025</v>
      </c>
      <c r="B1409" s="27" t="n">
        <v>3</v>
      </c>
      <c r="C1409" s="27" t="s">
        <v>38</v>
      </c>
      <c r="D1409" s="27" t="s">
        <v>24</v>
      </c>
      <c r="E1409" s="27" t="s">
        <v>54</v>
      </c>
      <c r="F1409" s="28" t="n">
        <v>2265</v>
      </c>
      <c r="G1409" s="29" t="n">
        <v>2540</v>
      </c>
      <c r="H1409" s="29" t="n">
        <f aca="false">F1409*G1409</f>
        <v>5753100</v>
      </c>
    </row>
    <row r="1410" customFormat="false" ht="15" hidden="false" customHeight="false" outlineLevel="0" collapsed="false">
      <c r="A1410" s="27" t="n">
        <v>2025</v>
      </c>
      <c r="B1410" s="27" t="n">
        <v>3</v>
      </c>
      <c r="C1410" s="27" t="s">
        <v>38</v>
      </c>
      <c r="D1410" s="27" t="s">
        <v>24</v>
      </c>
      <c r="E1410" s="27" t="s">
        <v>56</v>
      </c>
      <c r="F1410" s="28" t="n">
        <v>2492</v>
      </c>
      <c r="G1410" s="29" t="n">
        <v>2570</v>
      </c>
      <c r="H1410" s="29" t="n">
        <f aca="false">F1410*G1410</f>
        <v>6404440</v>
      </c>
    </row>
    <row r="1411" customFormat="false" ht="15" hidden="false" customHeight="false" outlineLevel="0" collapsed="false">
      <c r="A1411" s="27" t="n">
        <v>2025</v>
      </c>
      <c r="B1411" s="27" t="n">
        <v>3</v>
      </c>
      <c r="C1411" s="27" t="s">
        <v>38</v>
      </c>
      <c r="D1411" s="27" t="s">
        <v>24</v>
      </c>
      <c r="E1411" s="27" t="s">
        <v>58</v>
      </c>
      <c r="F1411" s="28" t="n">
        <v>1909</v>
      </c>
      <c r="G1411" s="29" t="n">
        <v>2570</v>
      </c>
      <c r="H1411" s="29" t="n">
        <f aca="false">F1411*G1411</f>
        <v>4906130</v>
      </c>
    </row>
    <row r="1412" customFormat="false" ht="15" hidden="false" customHeight="false" outlineLevel="0" collapsed="false">
      <c r="A1412" s="27" t="n">
        <v>2025</v>
      </c>
      <c r="B1412" s="27" t="n">
        <v>3</v>
      </c>
      <c r="C1412" s="27" t="s">
        <v>38</v>
      </c>
      <c r="D1412" s="27" t="s">
        <v>26</v>
      </c>
      <c r="E1412" s="27" t="s">
        <v>50</v>
      </c>
      <c r="F1412" s="28" t="n">
        <v>2128</v>
      </c>
      <c r="G1412" s="29" t="n">
        <v>3080</v>
      </c>
      <c r="H1412" s="29" t="n">
        <f aca="false">F1412*G1412</f>
        <v>6554240</v>
      </c>
    </row>
    <row r="1413" customFormat="false" ht="15" hidden="false" customHeight="false" outlineLevel="0" collapsed="false">
      <c r="A1413" s="27" t="n">
        <v>2025</v>
      </c>
      <c r="B1413" s="27" t="n">
        <v>3</v>
      </c>
      <c r="C1413" s="27" t="s">
        <v>38</v>
      </c>
      <c r="D1413" s="27" t="s">
        <v>26</v>
      </c>
      <c r="E1413" s="27" t="s">
        <v>52</v>
      </c>
      <c r="F1413" s="28" t="n">
        <v>1490</v>
      </c>
      <c r="G1413" s="29" t="n">
        <v>3040</v>
      </c>
      <c r="H1413" s="29" t="n">
        <f aca="false">F1413*G1413</f>
        <v>4529600</v>
      </c>
    </row>
    <row r="1414" customFormat="false" ht="15" hidden="false" customHeight="false" outlineLevel="0" collapsed="false">
      <c r="A1414" s="27" t="n">
        <v>2025</v>
      </c>
      <c r="B1414" s="27" t="n">
        <v>3</v>
      </c>
      <c r="C1414" s="27" t="s">
        <v>38</v>
      </c>
      <c r="D1414" s="27" t="s">
        <v>26</v>
      </c>
      <c r="E1414" s="27" t="s">
        <v>54</v>
      </c>
      <c r="F1414" s="28" t="n">
        <v>1153</v>
      </c>
      <c r="G1414" s="29" t="n">
        <v>3070</v>
      </c>
      <c r="H1414" s="29" t="n">
        <f aca="false">F1414*G1414</f>
        <v>3539710</v>
      </c>
    </row>
    <row r="1415" customFormat="false" ht="15" hidden="false" customHeight="false" outlineLevel="0" collapsed="false">
      <c r="A1415" s="27" t="n">
        <v>2025</v>
      </c>
      <c r="B1415" s="27" t="n">
        <v>3</v>
      </c>
      <c r="C1415" s="27" t="s">
        <v>38</v>
      </c>
      <c r="D1415" s="27" t="s">
        <v>26</v>
      </c>
      <c r="E1415" s="27" t="s">
        <v>56</v>
      </c>
      <c r="F1415" s="28" t="n">
        <v>1495</v>
      </c>
      <c r="G1415" s="29" t="n">
        <v>3130</v>
      </c>
      <c r="H1415" s="29" t="n">
        <f aca="false">F1415*G1415</f>
        <v>4679350</v>
      </c>
    </row>
    <row r="1416" customFormat="false" ht="15" hidden="false" customHeight="false" outlineLevel="0" collapsed="false">
      <c r="A1416" s="27" t="n">
        <v>2025</v>
      </c>
      <c r="B1416" s="27" t="n">
        <v>3</v>
      </c>
      <c r="C1416" s="27" t="s">
        <v>38</v>
      </c>
      <c r="D1416" s="27" t="s">
        <v>26</v>
      </c>
      <c r="E1416" s="27" t="s">
        <v>58</v>
      </c>
      <c r="F1416" s="28" t="n">
        <v>859</v>
      </c>
      <c r="G1416" s="29" t="n">
        <v>3150</v>
      </c>
      <c r="H1416" s="29" t="n">
        <f aca="false">F1416*G1416</f>
        <v>2705850</v>
      </c>
    </row>
    <row r="1417" customFormat="false" ht="15" hidden="false" customHeight="false" outlineLevel="0" collapsed="false">
      <c r="A1417" s="27" t="n">
        <v>2025</v>
      </c>
      <c r="B1417" s="27" t="n">
        <v>3</v>
      </c>
      <c r="C1417" s="27" t="s">
        <v>38</v>
      </c>
      <c r="D1417" s="27" t="s">
        <v>28</v>
      </c>
      <c r="E1417" s="27" t="s">
        <v>50</v>
      </c>
      <c r="F1417" s="28" t="n">
        <v>1039</v>
      </c>
      <c r="G1417" s="29" t="n">
        <v>2910</v>
      </c>
      <c r="H1417" s="29" t="n">
        <f aca="false">F1417*G1417</f>
        <v>3023490</v>
      </c>
    </row>
    <row r="1418" customFormat="false" ht="15" hidden="false" customHeight="false" outlineLevel="0" collapsed="false">
      <c r="A1418" s="27" t="n">
        <v>2025</v>
      </c>
      <c r="B1418" s="27" t="n">
        <v>3</v>
      </c>
      <c r="C1418" s="27" t="s">
        <v>38</v>
      </c>
      <c r="D1418" s="27" t="s">
        <v>28</v>
      </c>
      <c r="E1418" s="27" t="s">
        <v>52</v>
      </c>
      <c r="F1418" s="28" t="n">
        <v>713</v>
      </c>
      <c r="G1418" s="29" t="n">
        <v>2850</v>
      </c>
      <c r="H1418" s="29" t="n">
        <f aca="false">F1418*G1418</f>
        <v>2032050</v>
      </c>
    </row>
    <row r="1419" customFormat="false" ht="15" hidden="false" customHeight="false" outlineLevel="0" collapsed="false">
      <c r="A1419" s="27" t="n">
        <v>2025</v>
      </c>
      <c r="B1419" s="27" t="n">
        <v>3</v>
      </c>
      <c r="C1419" s="27" t="s">
        <v>38</v>
      </c>
      <c r="D1419" s="27" t="s">
        <v>28</v>
      </c>
      <c r="E1419" s="27" t="s">
        <v>54</v>
      </c>
      <c r="F1419" s="28" t="n">
        <v>558</v>
      </c>
      <c r="G1419" s="29" t="n">
        <v>2880</v>
      </c>
      <c r="H1419" s="29" t="n">
        <f aca="false">F1419*G1419</f>
        <v>1607040</v>
      </c>
    </row>
    <row r="1420" customFormat="false" ht="15" hidden="false" customHeight="false" outlineLevel="0" collapsed="false">
      <c r="A1420" s="27" t="n">
        <v>2025</v>
      </c>
      <c r="B1420" s="27" t="n">
        <v>3</v>
      </c>
      <c r="C1420" s="27" t="s">
        <v>38</v>
      </c>
      <c r="D1420" s="27" t="s">
        <v>28</v>
      </c>
      <c r="E1420" s="27" t="s">
        <v>56</v>
      </c>
      <c r="F1420" s="28" t="n">
        <v>664</v>
      </c>
      <c r="G1420" s="29" t="n">
        <v>2890</v>
      </c>
      <c r="H1420" s="29" t="n">
        <f aca="false">F1420*G1420</f>
        <v>1918960</v>
      </c>
    </row>
    <row r="1421" customFormat="false" ht="15" hidden="false" customHeight="false" outlineLevel="0" collapsed="false">
      <c r="A1421" s="27" t="n">
        <v>2025</v>
      </c>
      <c r="B1421" s="27" t="n">
        <v>3</v>
      </c>
      <c r="C1421" s="27" t="s">
        <v>38</v>
      </c>
      <c r="D1421" s="27" t="s">
        <v>28</v>
      </c>
      <c r="E1421" s="27" t="s">
        <v>58</v>
      </c>
      <c r="F1421" s="28" t="n">
        <v>469</v>
      </c>
      <c r="G1421" s="29" t="n">
        <v>2880</v>
      </c>
      <c r="H1421" s="29" t="n">
        <f aca="false">F1421*G1421</f>
        <v>1350720</v>
      </c>
    </row>
    <row r="1422" customFormat="false" ht="15" hidden="false" customHeight="false" outlineLevel="0" collapsed="false">
      <c r="A1422" s="27" t="n">
        <v>2025</v>
      </c>
      <c r="B1422" s="27" t="n">
        <v>3</v>
      </c>
      <c r="C1422" s="27" t="s">
        <v>40</v>
      </c>
      <c r="D1422" s="27" t="s">
        <v>22</v>
      </c>
      <c r="E1422" s="27" t="s">
        <v>50</v>
      </c>
      <c r="F1422" s="28" t="n">
        <v>3959</v>
      </c>
      <c r="G1422" s="29" t="n">
        <v>2450</v>
      </c>
      <c r="H1422" s="29" t="n">
        <f aca="false">F1422*G1422</f>
        <v>9699550</v>
      </c>
    </row>
    <row r="1423" customFormat="false" ht="15" hidden="false" customHeight="false" outlineLevel="0" collapsed="false">
      <c r="A1423" s="27" t="n">
        <v>2025</v>
      </c>
      <c r="B1423" s="27" t="n">
        <v>3</v>
      </c>
      <c r="C1423" s="27" t="s">
        <v>40</v>
      </c>
      <c r="D1423" s="27" t="s">
        <v>22</v>
      </c>
      <c r="E1423" s="27" t="s">
        <v>52</v>
      </c>
      <c r="F1423" s="28" t="n">
        <v>2568</v>
      </c>
      <c r="G1423" s="29" t="n">
        <v>2440</v>
      </c>
      <c r="H1423" s="29" t="n">
        <f aca="false">F1423*G1423</f>
        <v>6265920</v>
      </c>
    </row>
    <row r="1424" customFormat="false" ht="15" hidden="false" customHeight="false" outlineLevel="0" collapsed="false">
      <c r="A1424" s="27" t="n">
        <v>2025</v>
      </c>
      <c r="B1424" s="27" t="n">
        <v>3</v>
      </c>
      <c r="C1424" s="27" t="s">
        <v>40</v>
      </c>
      <c r="D1424" s="27" t="s">
        <v>22</v>
      </c>
      <c r="E1424" s="27" t="s">
        <v>54</v>
      </c>
      <c r="F1424" s="28" t="n">
        <v>1930</v>
      </c>
      <c r="G1424" s="29" t="n">
        <v>2400</v>
      </c>
      <c r="H1424" s="29" t="n">
        <f aca="false">F1424*G1424</f>
        <v>4632000</v>
      </c>
    </row>
    <row r="1425" customFormat="false" ht="15" hidden="false" customHeight="false" outlineLevel="0" collapsed="false">
      <c r="A1425" s="27" t="n">
        <v>2025</v>
      </c>
      <c r="B1425" s="27" t="n">
        <v>3</v>
      </c>
      <c r="C1425" s="27" t="s">
        <v>40</v>
      </c>
      <c r="D1425" s="27" t="s">
        <v>22</v>
      </c>
      <c r="E1425" s="27" t="s">
        <v>56</v>
      </c>
      <c r="F1425" s="28" t="n">
        <v>2303</v>
      </c>
      <c r="G1425" s="29" t="n">
        <v>2410</v>
      </c>
      <c r="H1425" s="29" t="n">
        <f aca="false">F1425*G1425</f>
        <v>5550230</v>
      </c>
    </row>
    <row r="1426" customFormat="false" ht="15" hidden="false" customHeight="false" outlineLevel="0" collapsed="false">
      <c r="A1426" s="27" t="n">
        <v>2025</v>
      </c>
      <c r="B1426" s="27" t="n">
        <v>3</v>
      </c>
      <c r="C1426" s="27" t="s">
        <v>40</v>
      </c>
      <c r="D1426" s="27" t="s">
        <v>22</v>
      </c>
      <c r="E1426" s="27" t="s">
        <v>58</v>
      </c>
      <c r="F1426" s="28" t="n">
        <v>1686</v>
      </c>
      <c r="G1426" s="29" t="n">
        <v>2450</v>
      </c>
      <c r="H1426" s="29" t="n">
        <f aca="false">F1426*G1426</f>
        <v>4130700</v>
      </c>
    </row>
    <row r="1427" customFormat="false" ht="15" hidden="false" customHeight="false" outlineLevel="0" collapsed="false">
      <c r="A1427" s="27" t="n">
        <v>2025</v>
      </c>
      <c r="B1427" s="27" t="n">
        <v>3</v>
      </c>
      <c r="C1427" s="27" t="s">
        <v>40</v>
      </c>
      <c r="D1427" s="27" t="s">
        <v>24</v>
      </c>
      <c r="E1427" s="27" t="s">
        <v>50</v>
      </c>
      <c r="F1427" s="28" t="n">
        <v>2294</v>
      </c>
      <c r="G1427" s="29" t="n">
        <v>2290</v>
      </c>
      <c r="H1427" s="29" t="n">
        <f aca="false">F1427*G1427</f>
        <v>5253260</v>
      </c>
    </row>
    <row r="1428" customFormat="false" ht="15" hidden="false" customHeight="false" outlineLevel="0" collapsed="false">
      <c r="A1428" s="27" t="n">
        <v>2025</v>
      </c>
      <c r="B1428" s="27" t="n">
        <v>3</v>
      </c>
      <c r="C1428" s="27" t="s">
        <v>40</v>
      </c>
      <c r="D1428" s="27" t="s">
        <v>24</v>
      </c>
      <c r="E1428" s="27" t="s">
        <v>52</v>
      </c>
      <c r="F1428" s="28" t="n">
        <v>1544</v>
      </c>
      <c r="G1428" s="29" t="n">
        <v>2260</v>
      </c>
      <c r="H1428" s="29" t="n">
        <f aca="false">F1428*G1428</f>
        <v>3489440</v>
      </c>
    </row>
    <row r="1429" customFormat="false" ht="15" hidden="false" customHeight="false" outlineLevel="0" collapsed="false">
      <c r="A1429" s="27" t="n">
        <v>2025</v>
      </c>
      <c r="B1429" s="27" t="n">
        <v>3</v>
      </c>
      <c r="C1429" s="27" t="s">
        <v>40</v>
      </c>
      <c r="D1429" s="27" t="s">
        <v>24</v>
      </c>
      <c r="E1429" s="27" t="s">
        <v>54</v>
      </c>
      <c r="F1429" s="28" t="n">
        <v>1108</v>
      </c>
      <c r="G1429" s="29" t="n">
        <v>2290</v>
      </c>
      <c r="H1429" s="29" t="n">
        <f aca="false">F1429*G1429</f>
        <v>2537320</v>
      </c>
    </row>
    <row r="1430" customFormat="false" ht="15" hidden="false" customHeight="false" outlineLevel="0" collapsed="false">
      <c r="A1430" s="27" t="n">
        <v>2025</v>
      </c>
      <c r="B1430" s="27" t="n">
        <v>3</v>
      </c>
      <c r="C1430" s="27" t="s">
        <v>40</v>
      </c>
      <c r="D1430" s="27" t="s">
        <v>24</v>
      </c>
      <c r="E1430" s="27" t="s">
        <v>56</v>
      </c>
      <c r="F1430" s="28" t="n">
        <v>1368</v>
      </c>
      <c r="G1430" s="29" t="n">
        <v>2260</v>
      </c>
      <c r="H1430" s="29" t="n">
        <f aca="false">F1430*G1430</f>
        <v>3091680</v>
      </c>
    </row>
    <row r="1431" customFormat="false" ht="15" hidden="false" customHeight="false" outlineLevel="0" collapsed="false">
      <c r="A1431" s="27" t="n">
        <v>2025</v>
      </c>
      <c r="B1431" s="27" t="n">
        <v>3</v>
      </c>
      <c r="C1431" s="27" t="s">
        <v>40</v>
      </c>
      <c r="D1431" s="27" t="s">
        <v>24</v>
      </c>
      <c r="E1431" s="27" t="s">
        <v>58</v>
      </c>
      <c r="F1431" s="28" t="n">
        <v>923</v>
      </c>
      <c r="G1431" s="29" t="n">
        <v>2240</v>
      </c>
      <c r="H1431" s="29" t="n">
        <f aca="false">F1431*G1431</f>
        <v>2067520</v>
      </c>
    </row>
    <row r="1432" customFormat="false" ht="15" hidden="false" customHeight="false" outlineLevel="0" collapsed="false">
      <c r="A1432" s="27" t="n">
        <v>2025</v>
      </c>
      <c r="B1432" s="27" t="n">
        <v>3</v>
      </c>
      <c r="C1432" s="27" t="s">
        <v>40</v>
      </c>
      <c r="D1432" s="27" t="s">
        <v>26</v>
      </c>
      <c r="E1432" s="27" t="s">
        <v>50</v>
      </c>
      <c r="F1432" s="28" t="n">
        <v>1091</v>
      </c>
      <c r="G1432" s="29" t="n">
        <v>2730</v>
      </c>
      <c r="H1432" s="29" t="n">
        <f aca="false">F1432*G1432</f>
        <v>2978430</v>
      </c>
    </row>
    <row r="1433" customFormat="false" ht="15" hidden="false" customHeight="false" outlineLevel="0" collapsed="false">
      <c r="A1433" s="27" t="n">
        <v>2025</v>
      </c>
      <c r="B1433" s="27" t="n">
        <v>3</v>
      </c>
      <c r="C1433" s="27" t="s">
        <v>40</v>
      </c>
      <c r="D1433" s="27" t="s">
        <v>26</v>
      </c>
      <c r="E1433" s="27" t="s">
        <v>52</v>
      </c>
      <c r="F1433" s="28" t="n">
        <v>707</v>
      </c>
      <c r="G1433" s="29" t="n">
        <v>2800</v>
      </c>
      <c r="H1433" s="29" t="n">
        <f aca="false">F1433*G1433</f>
        <v>1979600</v>
      </c>
    </row>
    <row r="1434" customFormat="false" ht="15" hidden="false" customHeight="false" outlineLevel="0" collapsed="false">
      <c r="A1434" s="27" t="n">
        <v>2025</v>
      </c>
      <c r="B1434" s="27" t="n">
        <v>3</v>
      </c>
      <c r="C1434" s="27" t="s">
        <v>40</v>
      </c>
      <c r="D1434" s="27" t="s">
        <v>26</v>
      </c>
      <c r="E1434" s="27" t="s">
        <v>54</v>
      </c>
      <c r="F1434" s="28" t="n">
        <v>557</v>
      </c>
      <c r="G1434" s="29" t="n">
        <v>2680</v>
      </c>
      <c r="H1434" s="29" t="n">
        <f aca="false">F1434*G1434</f>
        <v>1492760</v>
      </c>
    </row>
    <row r="1435" customFormat="false" ht="15" hidden="false" customHeight="false" outlineLevel="0" collapsed="false">
      <c r="A1435" s="27" t="n">
        <v>2025</v>
      </c>
      <c r="B1435" s="27" t="n">
        <v>3</v>
      </c>
      <c r="C1435" s="27" t="s">
        <v>40</v>
      </c>
      <c r="D1435" s="27" t="s">
        <v>26</v>
      </c>
      <c r="E1435" s="27" t="s">
        <v>56</v>
      </c>
      <c r="F1435" s="28" t="n">
        <v>717</v>
      </c>
      <c r="G1435" s="29" t="n">
        <v>2760</v>
      </c>
      <c r="H1435" s="29" t="n">
        <f aca="false">F1435*G1435</f>
        <v>1978920</v>
      </c>
    </row>
    <row r="1436" customFormat="false" ht="15" hidden="false" customHeight="false" outlineLevel="0" collapsed="false">
      <c r="A1436" s="27" t="n">
        <v>2025</v>
      </c>
      <c r="B1436" s="27" t="n">
        <v>3</v>
      </c>
      <c r="C1436" s="27" t="s">
        <v>40</v>
      </c>
      <c r="D1436" s="27" t="s">
        <v>26</v>
      </c>
      <c r="E1436" s="27" t="s">
        <v>58</v>
      </c>
      <c r="F1436" s="28" t="n">
        <v>480</v>
      </c>
      <c r="G1436" s="29" t="n">
        <v>2730</v>
      </c>
      <c r="H1436" s="29" t="n">
        <f aca="false">F1436*G1436</f>
        <v>1310400</v>
      </c>
    </row>
    <row r="1437" customFormat="false" ht="15" hidden="false" customHeight="false" outlineLevel="0" collapsed="false">
      <c r="A1437" s="27" t="n">
        <v>2025</v>
      </c>
      <c r="B1437" s="27" t="n">
        <v>3</v>
      </c>
      <c r="C1437" s="27" t="s">
        <v>40</v>
      </c>
      <c r="D1437" s="27" t="s">
        <v>28</v>
      </c>
      <c r="E1437" s="27" t="s">
        <v>50</v>
      </c>
      <c r="F1437" s="28" t="n">
        <v>504</v>
      </c>
      <c r="G1437" s="29" t="n">
        <v>2530</v>
      </c>
      <c r="H1437" s="29" t="n">
        <f aca="false">F1437*G1437</f>
        <v>1275120</v>
      </c>
    </row>
    <row r="1438" customFormat="false" ht="15" hidden="false" customHeight="false" outlineLevel="0" collapsed="false">
      <c r="A1438" s="27" t="n">
        <v>2025</v>
      </c>
      <c r="B1438" s="27" t="n">
        <v>3</v>
      </c>
      <c r="C1438" s="27" t="s">
        <v>40</v>
      </c>
      <c r="D1438" s="27" t="s">
        <v>28</v>
      </c>
      <c r="E1438" s="27" t="s">
        <v>52</v>
      </c>
      <c r="F1438" s="28" t="n">
        <v>329</v>
      </c>
      <c r="G1438" s="29" t="n">
        <v>2500</v>
      </c>
      <c r="H1438" s="29" t="n">
        <f aca="false">F1438*G1438</f>
        <v>822500</v>
      </c>
    </row>
    <row r="1439" customFormat="false" ht="15" hidden="false" customHeight="false" outlineLevel="0" collapsed="false">
      <c r="A1439" s="27" t="n">
        <v>2025</v>
      </c>
      <c r="B1439" s="27" t="n">
        <v>3</v>
      </c>
      <c r="C1439" s="27" t="s">
        <v>40</v>
      </c>
      <c r="D1439" s="27" t="s">
        <v>28</v>
      </c>
      <c r="E1439" s="27" t="s">
        <v>54</v>
      </c>
      <c r="F1439" s="28" t="n">
        <v>279</v>
      </c>
      <c r="G1439" s="29" t="n">
        <v>2490</v>
      </c>
      <c r="H1439" s="29" t="n">
        <f aca="false">F1439*G1439</f>
        <v>694710</v>
      </c>
    </row>
    <row r="1440" customFormat="false" ht="15" hidden="false" customHeight="false" outlineLevel="0" collapsed="false">
      <c r="A1440" s="27" t="n">
        <v>2025</v>
      </c>
      <c r="B1440" s="27" t="n">
        <v>3</v>
      </c>
      <c r="C1440" s="27" t="s">
        <v>40</v>
      </c>
      <c r="D1440" s="27" t="s">
        <v>28</v>
      </c>
      <c r="E1440" s="27" t="s">
        <v>56</v>
      </c>
      <c r="F1440" s="28" t="n">
        <v>308</v>
      </c>
      <c r="G1440" s="29" t="n">
        <v>2530</v>
      </c>
      <c r="H1440" s="29" t="n">
        <f aca="false">F1440*G1440</f>
        <v>779240</v>
      </c>
    </row>
    <row r="1441" customFormat="false" ht="15" hidden="false" customHeight="false" outlineLevel="0" collapsed="false">
      <c r="A1441" s="27" t="n">
        <v>2025</v>
      </c>
      <c r="B1441" s="27" t="n">
        <v>3</v>
      </c>
      <c r="C1441" s="27" t="s">
        <v>40</v>
      </c>
      <c r="D1441" s="27" t="s">
        <v>28</v>
      </c>
      <c r="E1441" s="27" t="s">
        <v>58</v>
      </c>
      <c r="F1441" s="28" t="n">
        <v>216</v>
      </c>
      <c r="G1441" s="29" t="n">
        <v>2560</v>
      </c>
      <c r="H1441" s="29" t="n">
        <f aca="false">F1441*G1441</f>
        <v>552960</v>
      </c>
    </row>
    <row r="1442" customFormat="false" ht="15" hidden="false" customHeight="false" outlineLevel="0" collapsed="false">
      <c r="A1442" s="27" t="n">
        <v>2025</v>
      </c>
      <c r="B1442" s="27" t="n">
        <v>3</v>
      </c>
      <c r="C1442" s="27" t="s">
        <v>42</v>
      </c>
      <c r="D1442" s="27" t="s">
        <v>22</v>
      </c>
      <c r="E1442" s="27" t="s">
        <v>50</v>
      </c>
      <c r="F1442" s="28" t="n">
        <v>4495</v>
      </c>
      <c r="G1442" s="29" t="n">
        <v>2240</v>
      </c>
      <c r="H1442" s="29" t="n">
        <f aca="false">F1442*G1442</f>
        <v>10068800</v>
      </c>
    </row>
    <row r="1443" customFormat="false" ht="15" hidden="false" customHeight="false" outlineLevel="0" collapsed="false">
      <c r="A1443" s="27" t="n">
        <v>2025</v>
      </c>
      <c r="B1443" s="27" t="n">
        <v>3</v>
      </c>
      <c r="C1443" s="27" t="s">
        <v>42</v>
      </c>
      <c r="D1443" s="27" t="s">
        <v>22</v>
      </c>
      <c r="E1443" s="27" t="s">
        <v>52</v>
      </c>
      <c r="F1443" s="28" t="n">
        <v>2871</v>
      </c>
      <c r="G1443" s="29" t="n">
        <v>2240</v>
      </c>
      <c r="H1443" s="29" t="n">
        <f aca="false">F1443*G1443</f>
        <v>6431040</v>
      </c>
    </row>
    <row r="1444" customFormat="false" ht="15" hidden="false" customHeight="false" outlineLevel="0" collapsed="false">
      <c r="A1444" s="27" t="n">
        <v>2025</v>
      </c>
      <c r="B1444" s="27" t="n">
        <v>3</v>
      </c>
      <c r="C1444" s="27" t="s">
        <v>42</v>
      </c>
      <c r="D1444" s="27" t="s">
        <v>22</v>
      </c>
      <c r="E1444" s="27" t="s">
        <v>54</v>
      </c>
      <c r="F1444" s="28" t="n">
        <v>2214</v>
      </c>
      <c r="G1444" s="29" t="n">
        <v>2220</v>
      </c>
      <c r="H1444" s="29" t="n">
        <f aca="false">F1444*G1444</f>
        <v>4915080</v>
      </c>
    </row>
    <row r="1445" customFormat="false" ht="15" hidden="false" customHeight="false" outlineLevel="0" collapsed="false">
      <c r="A1445" s="27" t="n">
        <v>2025</v>
      </c>
      <c r="B1445" s="27" t="n">
        <v>3</v>
      </c>
      <c r="C1445" s="27" t="s">
        <v>42</v>
      </c>
      <c r="D1445" s="27" t="s">
        <v>22</v>
      </c>
      <c r="E1445" s="27" t="s">
        <v>56</v>
      </c>
      <c r="F1445" s="28" t="n">
        <v>2696</v>
      </c>
      <c r="G1445" s="29" t="n">
        <v>2220</v>
      </c>
      <c r="H1445" s="29" t="n">
        <f aca="false">F1445*G1445</f>
        <v>5985120</v>
      </c>
    </row>
    <row r="1446" customFormat="false" ht="15" hidden="false" customHeight="false" outlineLevel="0" collapsed="false">
      <c r="A1446" s="27" t="n">
        <v>2025</v>
      </c>
      <c r="B1446" s="27" t="n">
        <v>3</v>
      </c>
      <c r="C1446" s="27" t="s">
        <v>42</v>
      </c>
      <c r="D1446" s="27" t="s">
        <v>22</v>
      </c>
      <c r="E1446" s="27" t="s">
        <v>58</v>
      </c>
      <c r="F1446" s="28" t="n">
        <v>1763</v>
      </c>
      <c r="G1446" s="29" t="n">
        <v>2210</v>
      </c>
      <c r="H1446" s="29" t="n">
        <f aca="false">F1446*G1446</f>
        <v>3896230</v>
      </c>
    </row>
    <row r="1447" customFormat="false" ht="15" hidden="false" customHeight="false" outlineLevel="0" collapsed="false">
      <c r="A1447" s="27" t="n">
        <v>2025</v>
      </c>
      <c r="B1447" s="27" t="n">
        <v>3</v>
      </c>
      <c r="C1447" s="27" t="s">
        <v>42</v>
      </c>
      <c r="D1447" s="27" t="s">
        <v>24</v>
      </c>
      <c r="E1447" s="27" t="s">
        <v>50</v>
      </c>
      <c r="F1447" s="28" t="n">
        <v>2459</v>
      </c>
      <c r="G1447" s="29" t="n">
        <v>2070</v>
      </c>
      <c r="H1447" s="29" t="n">
        <f aca="false">F1447*G1447</f>
        <v>5090130</v>
      </c>
    </row>
    <row r="1448" customFormat="false" ht="15" hidden="false" customHeight="false" outlineLevel="0" collapsed="false">
      <c r="A1448" s="27" t="n">
        <v>2025</v>
      </c>
      <c r="B1448" s="27" t="n">
        <v>3</v>
      </c>
      <c r="C1448" s="27" t="s">
        <v>42</v>
      </c>
      <c r="D1448" s="27" t="s">
        <v>24</v>
      </c>
      <c r="E1448" s="27" t="s">
        <v>52</v>
      </c>
      <c r="F1448" s="28" t="n">
        <v>1595</v>
      </c>
      <c r="G1448" s="29" t="n">
        <v>2050</v>
      </c>
      <c r="H1448" s="29" t="n">
        <f aca="false">F1448*G1448</f>
        <v>3269750</v>
      </c>
    </row>
    <row r="1449" customFormat="false" ht="15" hidden="false" customHeight="false" outlineLevel="0" collapsed="false">
      <c r="A1449" s="27" t="n">
        <v>2025</v>
      </c>
      <c r="B1449" s="27" t="n">
        <v>3</v>
      </c>
      <c r="C1449" s="27" t="s">
        <v>42</v>
      </c>
      <c r="D1449" s="27" t="s">
        <v>24</v>
      </c>
      <c r="E1449" s="27" t="s">
        <v>54</v>
      </c>
      <c r="F1449" s="28" t="n">
        <v>1239</v>
      </c>
      <c r="G1449" s="29" t="n">
        <v>2040</v>
      </c>
      <c r="H1449" s="29" t="n">
        <f aca="false">F1449*G1449</f>
        <v>2527560</v>
      </c>
    </row>
    <row r="1450" customFormat="false" ht="15" hidden="false" customHeight="false" outlineLevel="0" collapsed="false">
      <c r="A1450" s="27" t="n">
        <v>2025</v>
      </c>
      <c r="B1450" s="27" t="n">
        <v>3</v>
      </c>
      <c r="C1450" s="27" t="s">
        <v>42</v>
      </c>
      <c r="D1450" s="27" t="s">
        <v>24</v>
      </c>
      <c r="E1450" s="27" t="s">
        <v>56</v>
      </c>
      <c r="F1450" s="28" t="n">
        <v>1597</v>
      </c>
      <c r="G1450" s="29" t="n">
        <v>2060</v>
      </c>
      <c r="H1450" s="29" t="n">
        <f aca="false">F1450*G1450</f>
        <v>3289820</v>
      </c>
    </row>
    <row r="1451" customFormat="false" ht="15" hidden="false" customHeight="false" outlineLevel="0" collapsed="false">
      <c r="A1451" s="27" t="n">
        <v>2025</v>
      </c>
      <c r="B1451" s="27" t="n">
        <v>3</v>
      </c>
      <c r="C1451" s="27" t="s">
        <v>42</v>
      </c>
      <c r="D1451" s="27" t="s">
        <v>24</v>
      </c>
      <c r="E1451" s="27" t="s">
        <v>58</v>
      </c>
      <c r="F1451" s="28" t="n">
        <v>996</v>
      </c>
      <c r="G1451" s="29" t="n">
        <v>2080</v>
      </c>
      <c r="H1451" s="29" t="n">
        <f aca="false">F1451*G1451</f>
        <v>2071680</v>
      </c>
    </row>
    <row r="1452" customFormat="false" ht="15" hidden="false" customHeight="false" outlineLevel="0" collapsed="false">
      <c r="A1452" s="27" t="n">
        <v>2025</v>
      </c>
      <c r="B1452" s="27" t="n">
        <v>3</v>
      </c>
      <c r="C1452" s="27" t="s">
        <v>42</v>
      </c>
      <c r="D1452" s="27" t="s">
        <v>26</v>
      </c>
      <c r="E1452" s="27" t="s">
        <v>50</v>
      </c>
      <c r="F1452" s="28" t="n">
        <v>1269</v>
      </c>
      <c r="G1452" s="29" t="n">
        <v>2450</v>
      </c>
      <c r="H1452" s="29" t="n">
        <f aca="false">F1452*G1452</f>
        <v>3109050</v>
      </c>
    </row>
    <row r="1453" customFormat="false" ht="15" hidden="false" customHeight="false" outlineLevel="0" collapsed="false">
      <c r="A1453" s="27" t="n">
        <v>2025</v>
      </c>
      <c r="B1453" s="27" t="n">
        <v>3</v>
      </c>
      <c r="C1453" s="27" t="s">
        <v>42</v>
      </c>
      <c r="D1453" s="27" t="s">
        <v>26</v>
      </c>
      <c r="E1453" s="27" t="s">
        <v>52</v>
      </c>
      <c r="F1453" s="28" t="n">
        <v>858</v>
      </c>
      <c r="G1453" s="29" t="n">
        <v>2470</v>
      </c>
      <c r="H1453" s="29" t="n">
        <f aca="false">F1453*G1453</f>
        <v>2119260</v>
      </c>
    </row>
    <row r="1454" customFormat="false" ht="15" hidden="false" customHeight="false" outlineLevel="0" collapsed="false">
      <c r="A1454" s="27" t="n">
        <v>2025</v>
      </c>
      <c r="B1454" s="27" t="n">
        <v>3</v>
      </c>
      <c r="C1454" s="27" t="s">
        <v>42</v>
      </c>
      <c r="D1454" s="27" t="s">
        <v>26</v>
      </c>
      <c r="E1454" s="27" t="s">
        <v>54</v>
      </c>
      <c r="F1454" s="28" t="n">
        <v>639</v>
      </c>
      <c r="G1454" s="29" t="n">
        <v>2480</v>
      </c>
      <c r="H1454" s="29" t="n">
        <f aca="false">F1454*G1454</f>
        <v>1584720</v>
      </c>
    </row>
    <row r="1455" customFormat="false" ht="15" hidden="false" customHeight="false" outlineLevel="0" collapsed="false">
      <c r="A1455" s="27" t="n">
        <v>2025</v>
      </c>
      <c r="B1455" s="27" t="n">
        <v>3</v>
      </c>
      <c r="C1455" s="27" t="s">
        <v>42</v>
      </c>
      <c r="D1455" s="27" t="s">
        <v>26</v>
      </c>
      <c r="E1455" s="27" t="s">
        <v>56</v>
      </c>
      <c r="F1455" s="28" t="n">
        <v>819</v>
      </c>
      <c r="G1455" s="29" t="n">
        <v>2480</v>
      </c>
      <c r="H1455" s="29" t="n">
        <f aca="false">F1455*G1455</f>
        <v>2031120</v>
      </c>
    </row>
    <row r="1456" customFormat="false" ht="15" hidden="false" customHeight="false" outlineLevel="0" collapsed="false">
      <c r="A1456" s="27" t="n">
        <v>2025</v>
      </c>
      <c r="B1456" s="27" t="n">
        <v>3</v>
      </c>
      <c r="C1456" s="27" t="s">
        <v>42</v>
      </c>
      <c r="D1456" s="27" t="s">
        <v>26</v>
      </c>
      <c r="E1456" s="27" t="s">
        <v>58</v>
      </c>
      <c r="F1456" s="28" t="n">
        <v>499</v>
      </c>
      <c r="G1456" s="29" t="n">
        <v>2490</v>
      </c>
      <c r="H1456" s="29" t="n">
        <f aca="false">F1456*G1456</f>
        <v>1242510</v>
      </c>
    </row>
    <row r="1457" customFormat="false" ht="15" hidden="false" customHeight="false" outlineLevel="0" collapsed="false">
      <c r="A1457" s="27" t="n">
        <v>2025</v>
      </c>
      <c r="B1457" s="27" t="n">
        <v>3</v>
      </c>
      <c r="C1457" s="27" t="s">
        <v>42</v>
      </c>
      <c r="D1457" s="27" t="s">
        <v>28</v>
      </c>
      <c r="E1457" s="27" t="s">
        <v>50</v>
      </c>
      <c r="F1457" s="28" t="n">
        <v>601</v>
      </c>
      <c r="G1457" s="29" t="n">
        <v>2370</v>
      </c>
      <c r="H1457" s="29" t="n">
        <f aca="false">F1457*G1457</f>
        <v>1424370</v>
      </c>
    </row>
    <row r="1458" customFormat="false" ht="15" hidden="false" customHeight="false" outlineLevel="0" collapsed="false">
      <c r="A1458" s="27" t="n">
        <v>2025</v>
      </c>
      <c r="B1458" s="27" t="n">
        <v>3</v>
      </c>
      <c r="C1458" s="27" t="s">
        <v>42</v>
      </c>
      <c r="D1458" s="27" t="s">
        <v>28</v>
      </c>
      <c r="E1458" s="27" t="s">
        <v>52</v>
      </c>
      <c r="F1458" s="28" t="n">
        <v>385</v>
      </c>
      <c r="G1458" s="29" t="n">
        <v>2270</v>
      </c>
      <c r="H1458" s="29" t="n">
        <f aca="false">F1458*G1458</f>
        <v>873950</v>
      </c>
    </row>
    <row r="1459" customFormat="false" ht="15" hidden="false" customHeight="false" outlineLevel="0" collapsed="false">
      <c r="A1459" s="27" t="n">
        <v>2025</v>
      </c>
      <c r="B1459" s="27" t="n">
        <v>3</v>
      </c>
      <c r="C1459" s="27" t="s">
        <v>42</v>
      </c>
      <c r="D1459" s="27" t="s">
        <v>28</v>
      </c>
      <c r="E1459" s="27" t="s">
        <v>54</v>
      </c>
      <c r="F1459" s="28" t="n">
        <v>314</v>
      </c>
      <c r="G1459" s="29" t="n">
        <v>2370</v>
      </c>
      <c r="H1459" s="29" t="n">
        <f aca="false">F1459*G1459</f>
        <v>744180</v>
      </c>
    </row>
    <row r="1460" customFormat="false" ht="15" hidden="false" customHeight="false" outlineLevel="0" collapsed="false">
      <c r="A1460" s="27" t="n">
        <v>2025</v>
      </c>
      <c r="B1460" s="27" t="n">
        <v>3</v>
      </c>
      <c r="C1460" s="27" t="s">
        <v>42</v>
      </c>
      <c r="D1460" s="27" t="s">
        <v>28</v>
      </c>
      <c r="E1460" s="27" t="s">
        <v>56</v>
      </c>
      <c r="F1460" s="28" t="n">
        <v>395</v>
      </c>
      <c r="G1460" s="29" t="n">
        <v>2370</v>
      </c>
      <c r="H1460" s="29" t="n">
        <f aca="false">F1460*G1460</f>
        <v>936150</v>
      </c>
    </row>
    <row r="1461" customFormat="false" ht="15" hidden="false" customHeight="false" outlineLevel="0" collapsed="false">
      <c r="A1461" s="27" t="n">
        <v>2025</v>
      </c>
      <c r="B1461" s="27" t="n">
        <v>3</v>
      </c>
      <c r="C1461" s="27" t="s">
        <v>42</v>
      </c>
      <c r="D1461" s="27" t="s">
        <v>28</v>
      </c>
      <c r="E1461" s="27" t="s">
        <v>58</v>
      </c>
      <c r="F1461" s="28" t="n">
        <v>238</v>
      </c>
      <c r="G1461" s="29" t="n">
        <v>2350</v>
      </c>
      <c r="H1461" s="29" t="n">
        <f aca="false">F1461*G1461</f>
        <v>559300</v>
      </c>
    </row>
    <row r="1462" customFormat="false" ht="15" hidden="false" customHeight="false" outlineLevel="0" collapsed="false">
      <c r="A1462" s="27" t="n">
        <v>2025</v>
      </c>
      <c r="B1462" s="27" t="n">
        <v>3</v>
      </c>
      <c r="C1462" s="27" t="s">
        <v>44</v>
      </c>
      <c r="D1462" s="27" t="s">
        <v>22</v>
      </c>
      <c r="E1462" s="27" t="s">
        <v>50</v>
      </c>
      <c r="F1462" s="28" t="n">
        <v>2882</v>
      </c>
      <c r="G1462" s="29" t="n">
        <v>4120</v>
      </c>
      <c r="H1462" s="29" t="n">
        <f aca="false">F1462*G1462</f>
        <v>11873840</v>
      </c>
    </row>
    <row r="1463" customFormat="false" ht="15" hidden="false" customHeight="false" outlineLevel="0" collapsed="false">
      <c r="A1463" s="27" t="n">
        <v>2025</v>
      </c>
      <c r="B1463" s="27" t="n">
        <v>3</v>
      </c>
      <c r="C1463" s="27" t="s">
        <v>44</v>
      </c>
      <c r="D1463" s="27" t="s">
        <v>22</v>
      </c>
      <c r="E1463" s="27" t="s">
        <v>52</v>
      </c>
      <c r="F1463" s="28" t="n">
        <v>1750</v>
      </c>
      <c r="G1463" s="29" t="n">
        <v>4090</v>
      </c>
      <c r="H1463" s="29" t="n">
        <f aca="false">F1463*G1463</f>
        <v>7157500</v>
      </c>
    </row>
    <row r="1464" customFormat="false" ht="15" hidden="false" customHeight="false" outlineLevel="0" collapsed="false">
      <c r="A1464" s="27" t="n">
        <v>2025</v>
      </c>
      <c r="B1464" s="27" t="n">
        <v>3</v>
      </c>
      <c r="C1464" s="27" t="s">
        <v>44</v>
      </c>
      <c r="D1464" s="27" t="s">
        <v>22</v>
      </c>
      <c r="E1464" s="27" t="s">
        <v>54</v>
      </c>
      <c r="F1464" s="28" t="n">
        <v>1444</v>
      </c>
      <c r="G1464" s="29" t="n">
        <v>4150</v>
      </c>
      <c r="H1464" s="29" t="n">
        <f aca="false">F1464*G1464</f>
        <v>5992600</v>
      </c>
    </row>
    <row r="1465" customFormat="false" ht="15" hidden="false" customHeight="false" outlineLevel="0" collapsed="false">
      <c r="A1465" s="27" t="n">
        <v>2025</v>
      </c>
      <c r="B1465" s="27" t="n">
        <v>3</v>
      </c>
      <c r="C1465" s="27" t="s">
        <v>44</v>
      </c>
      <c r="D1465" s="27" t="s">
        <v>22</v>
      </c>
      <c r="E1465" s="27" t="s">
        <v>56</v>
      </c>
      <c r="F1465" s="28" t="n">
        <v>1846</v>
      </c>
      <c r="G1465" s="29" t="n">
        <v>4130</v>
      </c>
      <c r="H1465" s="29" t="n">
        <f aca="false">F1465*G1465</f>
        <v>7623980</v>
      </c>
    </row>
    <row r="1466" customFormat="false" ht="15" hidden="false" customHeight="false" outlineLevel="0" collapsed="false">
      <c r="A1466" s="27" t="n">
        <v>2025</v>
      </c>
      <c r="B1466" s="27" t="n">
        <v>3</v>
      </c>
      <c r="C1466" s="27" t="s">
        <v>44</v>
      </c>
      <c r="D1466" s="27" t="s">
        <v>22</v>
      </c>
      <c r="E1466" s="27" t="s">
        <v>58</v>
      </c>
      <c r="F1466" s="28" t="n">
        <v>1133</v>
      </c>
      <c r="G1466" s="29" t="n">
        <v>4100</v>
      </c>
      <c r="H1466" s="29" t="n">
        <f aca="false">F1466*G1466</f>
        <v>4645300</v>
      </c>
    </row>
    <row r="1467" customFormat="false" ht="15" hidden="false" customHeight="false" outlineLevel="0" collapsed="false">
      <c r="A1467" s="27" t="n">
        <v>2025</v>
      </c>
      <c r="B1467" s="27" t="n">
        <v>3</v>
      </c>
      <c r="C1467" s="27" t="s">
        <v>44</v>
      </c>
      <c r="D1467" s="27" t="s">
        <v>24</v>
      </c>
      <c r="E1467" s="27" t="s">
        <v>50</v>
      </c>
      <c r="F1467" s="28" t="n">
        <v>1667</v>
      </c>
      <c r="G1467" s="29" t="n">
        <v>3860</v>
      </c>
      <c r="H1467" s="29" t="n">
        <f aca="false">F1467*G1467</f>
        <v>6434620</v>
      </c>
    </row>
    <row r="1468" customFormat="false" ht="15" hidden="false" customHeight="false" outlineLevel="0" collapsed="false">
      <c r="A1468" s="27" t="n">
        <v>2025</v>
      </c>
      <c r="B1468" s="27" t="n">
        <v>3</v>
      </c>
      <c r="C1468" s="27" t="s">
        <v>44</v>
      </c>
      <c r="D1468" s="27" t="s">
        <v>24</v>
      </c>
      <c r="E1468" s="27" t="s">
        <v>52</v>
      </c>
      <c r="F1468" s="28" t="n">
        <v>1146</v>
      </c>
      <c r="G1468" s="29" t="n">
        <v>3870</v>
      </c>
      <c r="H1468" s="29" t="n">
        <f aca="false">F1468*G1468</f>
        <v>4435020</v>
      </c>
    </row>
    <row r="1469" customFormat="false" ht="15" hidden="false" customHeight="false" outlineLevel="0" collapsed="false">
      <c r="A1469" s="27" t="n">
        <v>2025</v>
      </c>
      <c r="B1469" s="27" t="n">
        <v>3</v>
      </c>
      <c r="C1469" s="27" t="s">
        <v>44</v>
      </c>
      <c r="D1469" s="27" t="s">
        <v>24</v>
      </c>
      <c r="E1469" s="27" t="s">
        <v>54</v>
      </c>
      <c r="F1469" s="28" t="n">
        <v>833</v>
      </c>
      <c r="G1469" s="29" t="n">
        <v>3720</v>
      </c>
      <c r="H1469" s="29" t="n">
        <f aca="false">F1469*G1469</f>
        <v>3098760</v>
      </c>
    </row>
    <row r="1470" customFormat="false" ht="15" hidden="false" customHeight="false" outlineLevel="0" collapsed="false">
      <c r="A1470" s="27" t="n">
        <v>2025</v>
      </c>
      <c r="B1470" s="27" t="n">
        <v>3</v>
      </c>
      <c r="C1470" s="27" t="s">
        <v>44</v>
      </c>
      <c r="D1470" s="27" t="s">
        <v>24</v>
      </c>
      <c r="E1470" s="27" t="s">
        <v>56</v>
      </c>
      <c r="F1470" s="28" t="n">
        <v>937</v>
      </c>
      <c r="G1470" s="29" t="n">
        <v>3880</v>
      </c>
      <c r="H1470" s="29" t="n">
        <f aca="false">F1470*G1470</f>
        <v>3635560</v>
      </c>
    </row>
    <row r="1471" customFormat="false" ht="15" hidden="false" customHeight="false" outlineLevel="0" collapsed="false">
      <c r="A1471" s="27" t="n">
        <v>2025</v>
      </c>
      <c r="B1471" s="27" t="n">
        <v>3</v>
      </c>
      <c r="C1471" s="27" t="s">
        <v>44</v>
      </c>
      <c r="D1471" s="27" t="s">
        <v>24</v>
      </c>
      <c r="E1471" s="27" t="s">
        <v>58</v>
      </c>
      <c r="F1471" s="28" t="n">
        <v>689</v>
      </c>
      <c r="G1471" s="29" t="n">
        <v>3800</v>
      </c>
      <c r="H1471" s="29" t="n">
        <f aca="false">F1471*G1471</f>
        <v>2618200</v>
      </c>
    </row>
    <row r="1472" customFormat="false" ht="15" hidden="false" customHeight="false" outlineLevel="0" collapsed="false">
      <c r="A1472" s="27" t="n">
        <v>2025</v>
      </c>
      <c r="B1472" s="27" t="n">
        <v>3</v>
      </c>
      <c r="C1472" s="27" t="s">
        <v>44</v>
      </c>
      <c r="D1472" s="27" t="s">
        <v>26</v>
      </c>
      <c r="E1472" s="27" t="s">
        <v>50</v>
      </c>
      <c r="F1472" s="28" t="n">
        <v>954</v>
      </c>
      <c r="G1472" s="29" t="n">
        <v>4670</v>
      </c>
      <c r="H1472" s="29" t="n">
        <f aca="false">F1472*G1472</f>
        <v>4455180</v>
      </c>
    </row>
    <row r="1473" customFormat="false" ht="15" hidden="false" customHeight="false" outlineLevel="0" collapsed="false">
      <c r="A1473" s="27" t="n">
        <v>2025</v>
      </c>
      <c r="B1473" s="27" t="n">
        <v>3</v>
      </c>
      <c r="C1473" s="27" t="s">
        <v>44</v>
      </c>
      <c r="D1473" s="27" t="s">
        <v>26</v>
      </c>
      <c r="E1473" s="27" t="s">
        <v>52</v>
      </c>
      <c r="F1473" s="28" t="n">
        <v>552</v>
      </c>
      <c r="G1473" s="29" t="n">
        <v>4590</v>
      </c>
      <c r="H1473" s="29" t="n">
        <f aca="false">F1473*G1473</f>
        <v>2533680</v>
      </c>
    </row>
    <row r="1474" customFormat="false" ht="15" hidden="false" customHeight="false" outlineLevel="0" collapsed="false">
      <c r="A1474" s="27" t="n">
        <v>2025</v>
      </c>
      <c r="B1474" s="27" t="n">
        <v>3</v>
      </c>
      <c r="C1474" s="27" t="s">
        <v>44</v>
      </c>
      <c r="D1474" s="27" t="s">
        <v>26</v>
      </c>
      <c r="E1474" s="27" t="s">
        <v>54</v>
      </c>
      <c r="F1474" s="28" t="n">
        <v>438</v>
      </c>
      <c r="G1474" s="29" t="n">
        <v>4620</v>
      </c>
      <c r="H1474" s="29" t="n">
        <f aca="false">F1474*G1474</f>
        <v>2023560</v>
      </c>
    </row>
    <row r="1475" customFormat="false" ht="15" hidden="false" customHeight="false" outlineLevel="0" collapsed="false">
      <c r="A1475" s="27" t="n">
        <v>2025</v>
      </c>
      <c r="B1475" s="27" t="n">
        <v>3</v>
      </c>
      <c r="C1475" s="27" t="s">
        <v>44</v>
      </c>
      <c r="D1475" s="27" t="s">
        <v>26</v>
      </c>
      <c r="E1475" s="27" t="s">
        <v>56</v>
      </c>
      <c r="F1475" s="28" t="n">
        <v>565</v>
      </c>
      <c r="G1475" s="29" t="n">
        <v>4630</v>
      </c>
      <c r="H1475" s="29" t="n">
        <f aca="false">F1475*G1475</f>
        <v>2615950</v>
      </c>
    </row>
    <row r="1476" customFormat="false" ht="15" hidden="false" customHeight="false" outlineLevel="0" collapsed="false">
      <c r="A1476" s="27" t="n">
        <v>2025</v>
      </c>
      <c r="B1476" s="27" t="n">
        <v>3</v>
      </c>
      <c r="C1476" s="27" t="s">
        <v>44</v>
      </c>
      <c r="D1476" s="27" t="s">
        <v>26</v>
      </c>
      <c r="E1476" s="27" t="s">
        <v>58</v>
      </c>
      <c r="F1476" s="28" t="n">
        <v>371</v>
      </c>
      <c r="G1476" s="29" t="n">
        <v>4660</v>
      </c>
      <c r="H1476" s="29" t="n">
        <f aca="false">F1476*G1476</f>
        <v>1728860</v>
      </c>
    </row>
    <row r="1477" customFormat="false" ht="15" hidden="false" customHeight="false" outlineLevel="0" collapsed="false">
      <c r="A1477" s="27" t="n">
        <v>2025</v>
      </c>
      <c r="B1477" s="27" t="n">
        <v>3</v>
      </c>
      <c r="C1477" s="27" t="s">
        <v>44</v>
      </c>
      <c r="D1477" s="27" t="s">
        <v>28</v>
      </c>
      <c r="E1477" s="27" t="s">
        <v>50</v>
      </c>
      <c r="F1477" s="28" t="n">
        <v>392</v>
      </c>
      <c r="G1477" s="29" t="n">
        <v>4350</v>
      </c>
      <c r="H1477" s="29" t="n">
        <f aca="false">F1477*G1477</f>
        <v>1705200</v>
      </c>
    </row>
    <row r="1478" customFormat="false" ht="15" hidden="false" customHeight="false" outlineLevel="0" collapsed="false">
      <c r="A1478" s="27" t="n">
        <v>2025</v>
      </c>
      <c r="B1478" s="27" t="n">
        <v>3</v>
      </c>
      <c r="C1478" s="27" t="s">
        <v>44</v>
      </c>
      <c r="D1478" s="27" t="s">
        <v>28</v>
      </c>
      <c r="E1478" s="27" t="s">
        <v>52</v>
      </c>
      <c r="F1478" s="28" t="n">
        <v>256</v>
      </c>
      <c r="G1478" s="29" t="n">
        <v>4210</v>
      </c>
      <c r="H1478" s="29" t="n">
        <f aca="false">F1478*G1478</f>
        <v>1077760</v>
      </c>
    </row>
    <row r="1479" customFormat="false" ht="15" hidden="false" customHeight="false" outlineLevel="0" collapsed="false">
      <c r="A1479" s="27" t="n">
        <v>2025</v>
      </c>
      <c r="B1479" s="27" t="n">
        <v>3</v>
      </c>
      <c r="C1479" s="27" t="s">
        <v>44</v>
      </c>
      <c r="D1479" s="27" t="s">
        <v>28</v>
      </c>
      <c r="E1479" s="27" t="s">
        <v>54</v>
      </c>
      <c r="F1479" s="28" t="n">
        <v>186</v>
      </c>
      <c r="G1479" s="29" t="n">
        <v>4280</v>
      </c>
      <c r="H1479" s="29" t="n">
        <f aca="false">F1479*G1479</f>
        <v>796080</v>
      </c>
    </row>
    <row r="1480" customFormat="false" ht="15" hidden="false" customHeight="false" outlineLevel="0" collapsed="false">
      <c r="A1480" s="27" t="n">
        <v>2025</v>
      </c>
      <c r="B1480" s="27" t="n">
        <v>3</v>
      </c>
      <c r="C1480" s="27" t="s">
        <v>44</v>
      </c>
      <c r="D1480" s="27" t="s">
        <v>28</v>
      </c>
      <c r="E1480" s="27" t="s">
        <v>56</v>
      </c>
      <c r="F1480" s="28" t="n">
        <v>254</v>
      </c>
      <c r="G1480" s="29" t="n">
        <v>4330</v>
      </c>
      <c r="H1480" s="29" t="n">
        <f aca="false">F1480*G1480</f>
        <v>1099820</v>
      </c>
    </row>
    <row r="1481" customFormat="false" ht="15" hidden="false" customHeight="false" outlineLevel="0" collapsed="false">
      <c r="A1481" s="27" t="n">
        <v>2025</v>
      </c>
      <c r="B1481" s="27" t="n">
        <v>3</v>
      </c>
      <c r="C1481" s="27" t="s">
        <v>44</v>
      </c>
      <c r="D1481" s="27" t="s">
        <v>28</v>
      </c>
      <c r="E1481" s="27" t="s">
        <v>58</v>
      </c>
      <c r="F1481" s="28" t="n">
        <v>171</v>
      </c>
      <c r="G1481" s="29" t="n">
        <v>4400</v>
      </c>
      <c r="H1481" s="29" t="n">
        <f aca="false">F1481*G1481</f>
        <v>752400</v>
      </c>
    </row>
    <row r="1482" customFormat="false" ht="15" hidden="false" customHeight="false" outlineLevel="0" collapsed="false">
      <c r="A1482" s="27" t="n">
        <v>2025</v>
      </c>
      <c r="B1482" s="27" t="n">
        <v>3</v>
      </c>
      <c r="C1482" s="27" t="s">
        <v>45</v>
      </c>
      <c r="D1482" s="27" t="s">
        <v>22</v>
      </c>
      <c r="E1482" s="27" t="s">
        <v>50</v>
      </c>
      <c r="F1482" s="28" t="n">
        <v>2872</v>
      </c>
      <c r="G1482" s="29" t="n">
        <v>2530</v>
      </c>
      <c r="H1482" s="29" t="n">
        <f aca="false">F1482*G1482</f>
        <v>7266160</v>
      </c>
    </row>
    <row r="1483" customFormat="false" ht="15" hidden="false" customHeight="false" outlineLevel="0" collapsed="false">
      <c r="A1483" s="27" t="n">
        <v>2025</v>
      </c>
      <c r="B1483" s="27" t="n">
        <v>3</v>
      </c>
      <c r="C1483" s="27" t="s">
        <v>45</v>
      </c>
      <c r="D1483" s="27" t="s">
        <v>22</v>
      </c>
      <c r="E1483" s="27" t="s">
        <v>52</v>
      </c>
      <c r="F1483" s="28" t="n">
        <v>1946</v>
      </c>
      <c r="G1483" s="29" t="n">
        <v>2510</v>
      </c>
      <c r="H1483" s="29" t="n">
        <f aca="false">F1483*G1483</f>
        <v>4884460</v>
      </c>
    </row>
    <row r="1484" customFormat="false" ht="15" hidden="false" customHeight="false" outlineLevel="0" collapsed="false">
      <c r="A1484" s="27" t="n">
        <v>2025</v>
      </c>
      <c r="B1484" s="27" t="n">
        <v>3</v>
      </c>
      <c r="C1484" s="27" t="s">
        <v>45</v>
      </c>
      <c r="D1484" s="27" t="s">
        <v>22</v>
      </c>
      <c r="E1484" s="27" t="s">
        <v>54</v>
      </c>
      <c r="F1484" s="28" t="n">
        <v>1536</v>
      </c>
      <c r="G1484" s="29" t="n">
        <v>2490</v>
      </c>
      <c r="H1484" s="29" t="n">
        <f aca="false">F1484*G1484</f>
        <v>3824640</v>
      </c>
    </row>
    <row r="1485" customFormat="false" ht="15" hidden="false" customHeight="false" outlineLevel="0" collapsed="false">
      <c r="A1485" s="27" t="n">
        <v>2025</v>
      </c>
      <c r="B1485" s="27" t="n">
        <v>3</v>
      </c>
      <c r="C1485" s="27" t="s">
        <v>45</v>
      </c>
      <c r="D1485" s="27" t="s">
        <v>22</v>
      </c>
      <c r="E1485" s="27" t="s">
        <v>56</v>
      </c>
      <c r="F1485" s="28" t="n">
        <v>1949</v>
      </c>
      <c r="G1485" s="29" t="n">
        <v>2510</v>
      </c>
      <c r="H1485" s="29" t="n">
        <f aca="false">F1485*G1485</f>
        <v>4891990</v>
      </c>
    </row>
    <row r="1486" customFormat="false" ht="15" hidden="false" customHeight="false" outlineLevel="0" collapsed="false">
      <c r="A1486" s="27" t="n">
        <v>2025</v>
      </c>
      <c r="B1486" s="27" t="n">
        <v>3</v>
      </c>
      <c r="C1486" s="27" t="s">
        <v>45</v>
      </c>
      <c r="D1486" s="27" t="s">
        <v>22</v>
      </c>
      <c r="E1486" s="27" t="s">
        <v>58</v>
      </c>
      <c r="F1486" s="28" t="n">
        <v>1372</v>
      </c>
      <c r="G1486" s="29" t="n">
        <v>2530</v>
      </c>
      <c r="H1486" s="29" t="n">
        <f aca="false">F1486*G1486</f>
        <v>3471160</v>
      </c>
    </row>
    <row r="1487" customFormat="false" ht="15" hidden="false" customHeight="false" outlineLevel="0" collapsed="false">
      <c r="A1487" s="27" t="n">
        <v>2025</v>
      </c>
      <c r="B1487" s="27" t="n">
        <v>3</v>
      </c>
      <c r="C1487" s="27" t="s">
        <v>45</v>
      </c>
      <c r="D1487" s="27" t="s">
        <v>24</v>
      </c>
      <c r="E1487" s="27" t="s">
        <v>50</v>
      </c>
      <c r="F1487" s="28" t="n">
        <v>1867</v>
      </c>
      <c r="G1487" s="29" t="n">
        <v>2350</v>
      </c>
      <c r="H1487" s="29" t="n">
        <f aca="false">F1487*G1487</f>
        <v>4387450</v>
      </c>
    </row>
    <row r="1488" customFormat="false" ht="15" hidden="false" customHeight="false" outlineLevel="0" collapsed="false">
      <c r="A1488" s="27" t="n">
        <v>2025</v>
      </c>
      <c r="B1488" s="27" t="n">
        <v>3</v>
      </c>
      <c r="C1488" s="27" t="s">
        <v>45</v>
      </c>
      <c r="D1488" s="27" t="s">
        <v>24</v>
      </c>
      <c r="E1488" s="27" t="s">
        <v>52</v>
      </c>
      <c r="F1488" s="28" t="n">
        <v>1108</v>
      </c>
      <c r="G1488" s="29" t="n">
        <v>2340</v>
      </c>
      <c r="H1488" s="29" t="n">
        <f aca="false">F1488*G1488</f>
        <v>2592720</v>
      </c>
    </row>
    <row r="1489" customFormat="false" ht="15" hidden="false" customHeight="false" outlineLevel="0" collapsed="false">
      <c r="A1489" s="27" t="n">
        <v>2025</v>
      </c>
      <c r="B1489" s="27" t="n">
        <v>3</v>
      </c>
      <c r="C1489" s="27" t="s">
        <v>45</v>
      </c>
      <c r="D1489" s="27" t="s">
        <v>24</v>
      </c>
      <c r="E1489" s="27" t="s">
        <v>54</v>
      </c>
      <c r="F1489" s="28" t="n">
        <v>893</v>
      </c>
      <c r="G1489" s="29" t="n">
        <v>2360</v>
      </c>
      <c r="H1489" s="29" t="n">
        <f aca="false">F1489*G1489</f>
        <v>2107480</v>
      </c>
    </row>
    <row r="1490" customFormat="false" ht="15" hidden="false" customHeight="false" outlineLevel="0" collapsed="false">
      <c r="A1490" s="27" t="n">
        <v>2025</v>
      </c>
      <c r="B1490" s="27" t="n">
        <v>3</v>
      </c>
      <c r="C1490" s="27" t="s">
        <v>45</v>
      </c>
      <c r="D1490" s="27" t="s">
        <v>24</v>
      </c>
      <c r="E1490" s="27" t="s">
        <v>56</v>
      </c>
      <c r="F1490" s="28" t="n">
        <v>1013</v>
      </c>
      <c r="G1490" s="29" t="n">
        <v>2350</v>
      </c>
      <c r="H1490" s="29" t="n">
        <f aca="false">F1490*G1490</f>
        <v>2380550</v>
      </c>
    </row>
    <row r="1491" customFormat="false" ht="15" hidden="false" customHeight="false" outlineLevel="0" collapsed="false">
      <c r="A1491" s="27" t="n">
        <v>2025</v>
      </c>
      <c r="B1491" s="27" t="n">
        <v>3</v>
      </c>
      <c r="C1491" s="27" t="s">
        <v>45</v>
      </c>
      <c r="D1491" s="27" t="s">
        <v>24</v>
      </c>
      <c r="E1491" s="27" t="s">
        <v>58</v>
      </c>
      <c r="F1491" s="28" t="n">
        <v>699</v>
      </c>
      <c r="G1491" s="29" t="n">
        <v>2410</v>
      </c>
      <c r="H1491" s="29" t="n">
        <f aca="false">F1491*G1491</f>
        <v>1684590</v>
      </c>
    </row>
    <row r="1492" customFormat="false" ht="15" hidden="false" customHeight="false" outlineLevel="0" collapsed="false">
      <c r="A1492" s="27" t="n">
        <v>2025</v>
      </c>
      <c r="B1492" s="27" t="n">
        <v>3</v>
      </c>
      <c r="C1492" s="27" t="s">
        <v>45</v>
      </c>
      <c r="D1492" s="27" t="s">
        <v>26</v>
      </c>
      <c r="E1492" s="27" t="s">
        <v>50</v>
      </c>
      <c r="F1492" s="28" t="n">
        <v>900</v>
      </c>
      <c r="G1492" s="29" t="n">
        <v>2880</v>
      </c>
      <c r="H1492" s="29" t="n">
        <f aca="false">F1492*G1492</f>
        <v>2592000</v>
      </c>
    </row>
    <row r="1493" customFormat="false" ht="15" hidden="false" customHeight="false" outlineLevel="0" collapsed="false">
      <c r="A1493" s="27" t="n">
        <v>2025</v>
      </c>
      <c r="B1493" s="27" t="n">
        <v>3</v>
      </c>
      <c r="C1493" s="27" t="s">
        <v>45</v>
      </c>
      <c r="D1493" s="27" t="s">
        <v>26</v>
      </c>
      <c r="E1493" s="27" t="s">
        <v>52</v>
      </c>
      <c r="F1493" s="28" t="n">
        <v>560</v>
      </c>
      <c r="G1493" s="29" t="n">
        <v>2840</v>
      </c>
      <c r="H1493" s="29" t="n">
        <f aca="false">F1493*G1493</f>
        <v>1590400</v>
      </c>
    </row>
    <row r="1494" customFormat="false" ht="15" hidden="false" customHeight="false" outlineLevel="0" collapsed="false">
      <c r="A1494" s="27" t="n">
        <v>2025</v>
      </c>
      <c r="B1494" s="27" t="n">
        <v>3</v>
      </c>
      <c r="C1494" s="27" t="s">
        <v>45</v>
      </c>
      <c r="D1494" s="27" t="s">
        <v>26</v>
      </c>
      <c r="E1494" s="27" t="s">
        <v>54</v>
      </c>
      <c r="F1494" s="28" t="n">
        <v>422</v>
      </c>
      <c r="G1494" s="29" t="n">
        <v>2820</v>
      </c>
      <c r="H1494" s="29" t="n">
        <f aca="false">F1494*G1494</f>
        <v>1190040</v>
      </c>
    </row>
    <row r="1495" customFormat="false" ht="15" hidden="false" customHeight="false" outlineLevel="0" collapsed="false">
      <c r="A1495" s="27" t="n">
        <v>2025</v>
      </c>
      <c r="B1495" s="27" t="n">
        <v>3</v>
      </c>
      <c r="C1495" s="27" t="s">
        <v>45</v>
      </c>
      <c r="D1495" s="27" t="s">
        <v>26</v>
      </c>
      <c r="E1495" s="27" t="s">
        <v>56</v>
      </c>
      <c r="F1495" s="28" t="n">
        <v>543</v>
      </c>
      <c r="G1495" s="29" t="n">
        <v>2880</v>
      </c>
      <c r="H1495" s="29" t="n">
        <f aca="false">F1495*G1495</f>
        <v>1563840</v>
      </c>
    </row>
    <row r="1496" customFormat="false" ht="15" hidden="false" customHeight="false" outlineLevel="0" collapsed="false">
      <c r="A1496" s="27" t="n">
        <v>2025</v>
      </c>
      <c r="B1496" s="27" t="n">
        <v>3</v>
      </c>
      <c r="C1496" s="27" t="s">
        <v>45</v>
      </c>
      <c r="D1496" s="27" t="s">
        <v>26</v>
      </c>
      <c r="E1496" s="27" t="s">
        <v>58</v>
      </c>
      <c r="F1496" s="28" t="n">
        <v>371</v>
      </c>
      <c r="G1496" s="29" t="n">
        <v>2880</v>
      </c>
      <c r="H1496" s="29" t="n">
        <f aca="false">F1496*G1496</f>
        <v>1068480</v>
      </c>
    </row>
    <row r="1497" customFormat="false" ht="15" hidden="false" customHeight="false" outlineLevel="0" collapsed="false">
      <c r="A1497" s="27" t="n">
        <v>2025</v>
      </c>
      <c r="B1497" s="27" t="n">
        <v>3</v>
      </c>
      <c r="C1497" s="27" t="s">
        <v>45</v>
      </c>
      <c r="D1497" s="27" t="s">
        <v>28</v>
      </c>
      <c r="E1497" s="27" t="s">
        <v>50</v>
      </c>
      <c r="F1497" s="28" t="n">
        <v>440</v>
      </c>
      <c r="G1497" s="29" t="n">
        <v>2700</v>
      </c>
      <c r="H1497" s="29" t="n">
        <f aca="false">F1497*G1497</f>
        <v>1188000</v>
      </c>
    </row>
    <row r="1498" customFormat="false" ht="15" hidden="false" customHeight="false" outlineLevel="0" collapsed="false">
      <c r="A1498" s="27" t="n">
        <v>2025</v>
      </c>
      <c r="B1498" s="27" t="n">
        <v>3</v>
      </c>
      <c r="C1498" s="27" t="s">
        <v>45</v>
      </c>
      <c r="D1498" s="27" t="s">
        <v>28</v>
      </c>
      <c r="E1498" s="27" t="s">
        <v>52</v>
      </c>
      <c r="F1498" s="28" t="n">
        <v>266</v>
      </c>
      <c r="G1498" s="29" t="n">
        <v>2720</v>
      </c>
      <c r="H1498" s="29" t="n">
        <f aca="false">F1498*G1498</f>
        <v>723520</v>
      </c>
    </row>
    <row r="1499" customFormat="false" ht="15" hidden="false" customHeight="false" outlineLevel="0" collapsed="false">
      <c r="A1499" s="27" t="n">
        <v>2025</v>
      </c>
      <c r="B1499" s="27" t="n">
        <v>3</v>
      </c>
      <c r="C1499" s="27" t="s">
        <v>45</v>
      </c>
      <c r="D1499" s="27" t="s">
        <v>28</v>
      </c>
      <c r="E1499" s="27" t="s">
        <v>54</v>
      </c>
      <c r="F1499" s="28" t="n">
        <v>208</v>
      </c>
      <c r="G1499" s="29" t="n">
        <v>2640</v>
      </c>
      <c r="H1499" s="29" t="n">
        <f aca="false">F1499*G1499</f>
        <v>549120</v>
      </c>
    </row>
    <row r="1500" customFormat="false" ht="15" hidden="false" customHeight="false" outlineLevel="0" collapsed="false">
      <c r="A1500" s="27" t="n">
        <v>2025</v>
      </c>
      <c r="B1500" s="27" t="n">
        <v>3</v>
      </c>
      <c r="C1500" s="27" t="s">
        <v>45</v>
      </c>
      <c r="D1500" s="27" t="s">
        <v>28</v>
      </c>
      <c r="E1500" s="27" t="s">
        <v>56</v>
      </c>
      <c r="F1500" s="28" t="n">
        <v>238</v>
      </c>
      <c r="G1500" s="29" t="n">
        <v>2720</v>
      </c>
      <c r="H1500" s="29" t="n">
        <f aca="false">F1500*G1500</f>
        <v>647360</v>
      </c>
    </row>
    <row r="1501" customFormat="false" ht="15" hidden="false" customHeight="false" outlineLevel="0" collapsed="false">
      <c r="A1501" s="27" t="n">
        <v>2025</v>
      </c>
      <c r="B1501" s="27" t="n">
        <v>3</v>
      </c>
      <c r="C1501" s="27" t="s">
        <v>45</v>
      </c>
      <c r="D1501" s="27" t="s">
        <v>28</v>
      </c>
      <c r="E1501" s="27" t="s">
        <v>58</v>
      </c>
      <c r="F1501" s="28" t="n">
        <v>180</v>
      </c>
      <c r="G1501" s="29" t="n">
        <v>2650</v>
      </c>
      <c r="H1501" s="29" t="n">
        <f aca="false">F1501*G1501</f>
        <v>477000</v>
      </c>
    </row>
    <row r="1502" customFormat="false" ht="15" hidden="false" customHeight="false" outlineLevel="0" collapsed="false">
      <c r="A1502" s="27" t="n">
        <v>2025</v>
      </c>
      <c r="B1502" s="27" t="n">
        <v>4</v>
      </c>
      <c r="C1502" s="27" t="s">
        <v>38</v>
      </c>
      <c r="D1502" s="27" t="s">
        <v>22</v>
      </c>
      <c r="E1502" s="27" t="s">
        <v>50</v>
      </c>
      <c r="F1502" s="28" t="n">
        <v>8484</v>
      </c>
      <c r="G1502" s="29" t="n">
        <v>2760</v>
      </c>
      <c r="H1502" s="29" t="n">
        <f aca="false">F1502*G1502</f>
        <v>23415840</v>
      </c>
    </row>
    <row r="1503" customFormat="false" ht="15" hidden="false" customHeight="false" outlineLevel="0" collapsed="false">
      <c r="A1503" s="27" t="n">
        <v>2025</v>
      </c>
      <c r="B1503" s="27" t="n">
        <v>4</v>
      </c>
      <c r="C1503" s="27" t="s">
        <v>38</v>
      </c>
      <c r="D1503" s="27" t="s">
        <v>22</v>
      </c>
      <c r="E1503" s="27" t="s">
        <v>52</v>
      </c>
      <c r="F1503" s="28" t="n">
        <v>5481</v>
      </c>
      <c r="G1503" s="29" t="n">
        <v>2700</v>
      </c>
      <c r="H1503" s="29" t="n">
        <f aca="false">F1503*G1503</f>
        <v>14798700</v>
      </c>
    </row>
    <row r="1504" customFormat="false" ht="15" hidden="false" customHeight="false" outlineLevel="0" collapsed="false">
      <c r="A1504" s="27" t="n">
        <v>2025</v>
      </c>
      <c r="B1504" s="27" t="n">
        <v>4</v>
      </c>
      <c r="C1504" s="27" t="s">
        <v>38</v>
      </c>
      <c r="D1504" s="27" t="s">
        <v>22</v>
      </c>
      <c r="E1504" s="27" t="s">
        <v>54</v>
      </c>
      <c r="F1504" s="28" t="n">
        <v>3939</v>
      </c>
      <c r="G1504" s="29" t="n">
        <v>2730</v>
      </c>
      <c r="H1504" s="29" t="n">
        <f aca="false">F1504*G1504</f>
        <v>10753470</v>
      </c>
    </row>
    <row r="1505" customFormat="false" ht="15" hidden="false" customHeight="false" outlineLevel="0" collapsed="false">
      <c r="A1505" s="27" t="n">
        <v>2025</v>
      </c>
      <c r="B1505" s="27" t="n">
        <v>4</v>
      </c>
      <c r="C1505" s="27" t="s">
        <v>38</v>
      </c>
      <c r="D1505" s="27" t="s">
        <v>22</v>
      </c>
      <c r="E1505" s="27" t="s">
        <v>56</v>
      </c>
      <c r="F1505" s="28" t="n">
        <v>4273</v>
      </c>
      <c r="G1505" s="29" t="n">
        <v>2770</v>
      </c>
      <c r="H1505" s="29" t="n">
        <f aca="false">F1505*G1505</f>
        <v>11836210</v>
      </c>
    </row>
    <row r="1506" customFormat="false" ht="15" hidden="false" customHeight="false" outlineLevel="0" collapsed="false">
      <c r="A1506" s="27" t="n">
        <v>2025</v>
      </c>
      <c r="B1506" s="27" t="n">
        <v>4</v>
      </c>
      <c r="C1506" s="27" t="s">
        <v>38</v>
      </c>
      <c r="D1506" s="27" t="s">
        <v>22</v>
      </c>
      <c r="E1506" s="27" t="s">
        <v>58</v>
      </c>
      <c r="F1506" s="28" t="n">
        <v>3200</v>
      </c>
      <c r="G1506" s="29" t="n">
        <v>2760</v>
      </c>
      <c r="H1506" s="29" t="n">
        <f aca="false">F1506*G1506</f>
        <v>8832000</v>
      </c>
    </row>
    <row r="1507" customFormat="false" ht="15" hidden="false" customHeight="false" outlineLevel="0" collapsed="false">
      <c r="A1507" s="27" t="n">
        <v>2025</v>
      </c>
      <c r="B1507" s="27" t="n">
        <v>4</v>
      </c>
      <c r="C1507" s="27" t="s">
        <v>38</v>
      </c>
      <c r="D1507" s="27" t="s">
        <v>24</v>
      </c>
      <c r="E1507" s="27" t="s">
        <v>50</v>
      </c>
      <c r="F1507" s="28" t="n">
        <v>5168</v>
      </c>
      <c r="G1507" s="29" t="n">
        <v>2540</v>
      </c>
      <c r="H1507" s="29" t="n">
        <f aca="false">F1507*G1507</f>
        <v>13126720</v>
      </c>
    </row>
    <row r="1508" customFormat="false" ht="15" hidden="false" customHeight="false" outlineLevel="0" collapsed="false">
      <c r="A1508" s="27" t="n">
        <v>2025</v>
      </c>
      <c r="B1508" s="27" t="n">
        <v>4</v>
      </c>
      <c r="C1508" s="27" t="s">
        <v>38</v>
      </c>
      <c r="D1508" s="27" t="s">
        <v>24</v>
      </c>
      <c r="E1508" s="27" t="s">
        <v>52</v>
      </c>
      <c r="F1508" s="28" t="n">
        <v>2829</v>
      </c>
      <c r="G1508" s="29" t="n">
        <v>2550</v>
      </c>
      <c r="H1508" s="29" t="n">
        <f aca="false">F1508*G1508</f>
        <v>7213950</v>
      </c>
    </row>
    <row r="1509" customFormat="false" ht="15" hidden="false" customHeight="false" outlineLevel="0" collapsed="false">
      <c r="A1509" s="27" t="n">
        <v>2025</v>
      </c>
      <c r="B1509" s="27" t="n">
        <v>4</v>
      </c>
      <c r="C1509" s="27" t="s">
        <v>38</v>
      </c>
      <c r="D1509" s="27" t="s">
        <v>24</v>
      </c>
      <c r="E1509" s="27" t="s">
        <v>54</v>
      </c>
      <c r="F1509" s="28" t="n">
        <v>2426</v>
      </c>
      <c r="G1509" s="29" t="n">
        <v>2540</v>
      </c>
      <c r="H1509" s="29" t="n">
        <f aca="false">F1509*G1509</f>
        <v>6162040</v>
      </c>
    </row>
    <row r="1510" customFormat="false" ht="15" hidden="false" customHeight="false" outlineLevel="0" collapsed="false">
      <c r="A1510" s="27" t="n">
        <v>2025</v>
      </c>
      <c r="B1510" s="27" t="n">
        <v>4</v>
      </c>
      <c r="C1510" s="27" t="s">
        <v>38</v>
      </c>
      <c r="D1510" s="27" t="s">
        <v>24</v>
      </c>
      <c r="E1510" s="27" t="s">
        <v>56</v>
      </c>
      <c r="F1510" s="28" t="n">
        <v>2658</v>
      </c>
      <c r="G1510" s="29" t="n">
        <v>2580</v>
      </c>
      <c r="H1510" s="29" t="n">
        <f aca="false">F1510*G1510</f>
        <v>6857640</v>
      </c>
    </row>
    <row r="1511" customFormat="false" ht="15" hidden="false" customHeight="false" outlineLevel="0" collapsed="false">
      <c r="A1511" s="27" t="n">
        <v>2025</v>
      </c>
      <c r="B1511" s="27" t="n">
        <v>4</v>
      </c>
      <c r="C1511" s="27" t="s">
        <v>38</v>
      </c>
      <c r="D1511" s="27" t="s">
        <v>24</v>
      </c>
      <c r="E1511" s="27" t="s">
        <v>58</v>
      </c>
      <c r="F1511" s="28" t="n">
        <v>1914</v>
      </c>
      <c r="G1511" s="29" t="n">
        <v>2500</v>
      </c>
      <c r="H1511" s="29" t="n">
        <f aca="false">F1511*G1511</f>
        <v>4785000</v>
      </c>
    </row>
    <row r="1512" customFormat="false" ht="15" hidden="false" customHeight="false" outlineLevel="0" collapsed="false">
      <c r="A1512" s="27" t="n">
        <v>2025</v>
      </c>
      <c r="B1512" s="27" t="n">
        <v>4</v>
      </c>
      <c r="C1512" s="27" t="s">
        <v>38</v>
      </c>
      <c r="D1512" s="27" t="s">
        <v>26</v>
      </c>
      <c r="E1512" s="27" t="s">
        <v>50</v>
      </c>
      <c r="F1512" s="28" t="n">
        <v>2210</v>
      </c>
      <c r="G1512" s="29" t="n">
        <v>3120</v>
      </c>
      <c r="H1512" s="29" t="n">
        <f aca="false">F1512*G1512</f>
        <v>6895200</v>
      </c>
    </row>
    <row r="1513" customFormat="false" ht="15" hidden="false" customHeight="false" outlineLevel="0" collapsed="false">
      <c r="A1513" s="27" t="n">
        <v>2025</v>
      </c>
      <c r="B1513" s="27" t="n">
        <v>4</v>
      </c>
      <c r="C1513" s="27" t="s">
        <v>38</v>
      </c>
      <c r="D1513" s="27" t="s">
        <v>26</v>
      </c>
      <c r="E1513" s="27" t="s">
        <v>52</v>
      </c>
      <c r="F1513" s="28" t="n">
        <v>1501</v>
      </c>
      <c r="G1513" s="29" t="n">
        <v>3050</v>
      </c>
      <c r="H1513" s="29" t="n">
        <f aca="false">F1513*G1513</f>
        <v>4578050</v>
      </c>
    </row>
    <row r="1514" customFormat="false" ht="15" hidden="false" customHeight="false" outlineLevel="0" collapsed="false">
      <c r="A1514" s="27" t="n">
        <v>2025</v>
      </c>
      <c r="B1514" s="27" t="n">
        <v>4</v>
      </c>
      <c r="C1514" s="27" t="s">
        <v>38</v>
      </c>
      <c r="D1514" s="27" t="s">
        <v>26</v>
      </c>
      <c r="E1514" s="27" t="s">
        <v>54</v>
      </c>
      <c r="F1514" s="28" t="n">
        <v>1167</v>
      </c>
      <c r="G1514" s="29" t="n">
        <v>3070</v>
      </c>
      <c r="H1514" s="29" t="n">
        <f aca="false">F1514*G1514</f>
        <v>3582690</v>
      </c>
    </row>
    <row r="1515" customFormat="false" ht="15" hidden="false" customHeight="false" outlineLevel="0" collapsed="false">
      <c r="A1515" s="27" t="n">
        <v>2025</v>
      </c>
      <c r="B1515" s="27" t="n">
        <v>4</v>
      </c>
      <c r="C1515" s="27" t="s">
        <v>38</v>
      </c>
      <c r="D1515" s="27" t="s">
        <v>26</v>
      </c>
      <c r="E1515" s="27" t="s">
        <v>56</v>
      </c>
      <c r="F1515" s="28" t="n">
        <v>1449</v>
      </c>
      <c r="G1515" s="29" t="n">
        <v>3030</v>
      </c>
      <c r="H1515" s="29" t="n">
        <f aca="false">F1515*G1515</f>
        <v>4390470</v>
      </c>
    </row>
    <row r="1516" customFormat="false" ht="15" hidden="false" customHeight="false" outlineLevel="0" collapsed="false">
      <c r="A1516" s="27" t="n">
        <v>2025</v>
      </c>
      <c r="B1516" s="27" t="n">
        <v>4</v>
      </c>
      <c r="C1516" s="27" t="s">
        <v>38</v>
      </c>
      <c r="D1516" s="27" t="s">
        <v>26</v>
      </c>
      <c r="E1516" s="27" t="s">
        <v>58</v>
      </c>
      <c r="F1516" s="28" t="n">
        <v>916</v>
      </c>
      <c r="G1516" s="29" t="n">
        <v>3080</v>
      </c>
      <c r="H1516" s="29" t="n">
        <f aca="false">F1516*G1516</f>
        <v>2821280</v>
      </c>
    </row>
    <row r="1517" customFormat="false" ht="15" hidden="false" customHeight="false" outlineLevel="0" collapsed="false">
      <c r="A1517" s="27" t="n">
        <v>2025</v>
      </c>
      <c r="B1517" s="27" t="n">
        <v>4</v>
      </c>
      <c r="C1517" s="27" t="s">
        <v>38</v>
      </c>
      <c r="D1517" s="27" t="s">
        <v>28</v>
      </c>
      <c r="E1517" s="27" t="s">
        <v>50</v>
      </c>
      <c r="F1517" s="28" t="n">
        <v>1106</v>
      </c>
      <c r="G1517" s="29" t="n">
        <v>2900</v>
      </c>
      <c r="H1517" s="29" t="n">
        <f aca="false">F1517*G1517</f>
        <v>3207400</v>
      </c>
    </row>
    <row r="1518" customFormat="false" ht="15" hidden="false" customHeight="false" outlineLevel="0" collapsed="false">
      <c r="A1518" s="27" t="n">
        <v>2025</v>
      </c>
      <c r="B1518" s="27" t="n">
        <v>4</v>
      </c>
      <c r="C1518" s="27" t="s">
        <v>38</v>
      </c>
      <c r="D1518" s="27" t="s">
        <v>28</v>
      </c>
      <c r="E1518" s="27" t="s">
        <v>52</v>
      </c>
      <c r="F1518" s="28" t="n">
        <v>652</v>
      </c>
      <c r="G1518" s="29" t="n">
        <v>2890</v>
      </c>
      <c r="H1518" s="29" t="n">
        <f aca="false">F1518*G1518</f>
        <v>1884280</v>
      </c>
    </row>
    <row r="1519" customFormat="false" ht="15" hidden="false" customHeight="false" outlineLevel="0" collapsed="false">
      <c r="A1519" s="27" t="n">
        <v>2025</v>
      </c>
      <c r="B1519" s="27" t="n">
        <v>4</v>
      </c>
      <c r="C1519" s="27" t="s">
        <v>38</v>
      </c>
      <c r="D1519" s="27" t="s">
        <v>28</v>
      </c>
      <c r="E1519" s="27" t="s">
        <v>54</v>
      </c>
      <c r="F1519" s="28" t="n">
        <v>586</v>
      </c>
      <c r="G1519" s="29" t="n">
        <v>2890</v>
      </c>
      <c r="H1519" s="29" t="n">
        <f aca="false">F1519*G1519</f>
        <v>1693540</v>
      </c>
    </row>
    <row r="1520" customFormat="false" ht="15" hidden="false" customHeight="false" outlineLevel="0" collapsed="false">
      <c r="A1520" s="27" t="n">
        <v>2025</v>
      </c>
      <c r="B1520" s="27" t="n">
        <v>4</v>
      </c>
      <c r="C1520" s="27" t="s">
        <v>38</v>
      </c>
      <c r="D1520" s="27" t="s">
        <v>28</v>
      </c>
      <c r="E1520" s="27" t="s">
        <v>56</v>
      </c>
      <c r="F1520" s="28" t="n">
        <v>664</v>
      </c>
      <c r="G1520" s="29" t="n">
        <v>2880</v>
      </c>
      <c r="H1520" s="29" t="n">
        <f aca="false">F1520*G1520</f>
        <v>1912320</v>
      </c>
    </row>
    <row r="1521" customFormat="false" ht="15" hidden="false" customHeight="false" outlineLevel="0" collapsed="false">
      <c r="A1521" s="27" t="n">
        <v>2025</v>
      </c>
      <c r="B1521" s="27" t="n">
        <v>4</v>
      </c>
      <c r="C1521" s="27" t="s">
        <v>38</v>
      </c>
      <c r="D1521" s="27" t="s">
        <v>28</v>
      </c>
      <c r="E1521" s="27" t="s">
        <v>58</v>
      </c>
      <c r="F1521" s="28" t="n">
        <v>433</v>
      </c>
      <c r="G1521" s="29" t="n">
        <v>2880</v>
      </c>
      <c r="H1521" s="29" t="n">
        <f aca="false">F1521*G1521</f>
        <v>1247040</v>
      </c>
    </row>
    <row r="1522" customFormat="false" ht="15" hidden="false" customHeight="false" outlineLevel="0" collapsed="false">
      <c r="A1522" s="27" t="n">
        <v>2025</v>
      </c>
      <c r="B1522" s="27" t="n">
        <v>4</v>
      </c>
      <c r="C1522" s="27" t="s">
        <v>40</v>
      </c>
      <c r="D1522" s="27" t="s">
        <v>22</v>
      </c>
      <c r="E1522" s="27" t="s">
        <v>50</v>
      </c>
      <c r="F1522" s="28" t="n">
        <v>4334</v>
      </c>
      <c r="G1522" s="29" t="n">
        <v>2420</v>
      </c>
      <c r="H1522" s="29" t="n">
        <f aca="false">F1522*G1522</f>
        <v>10488280</v>
      </c>
    </row>
    <row r="1523" customFormat="false" ht="15" hidden="false" customHeight="false" outlineLevel="0" collapsed="false">
      <c r="A1523" s="27" t="n">
        <v>2025</v>
      </c>
      <c r="B1523" s="27" t="n">
        <v>4</v>
      </c>
      <c r="C1523" s="27" t="s">
        <v>40</v>
      </c>
      <c r="D1523" s="27" t="s">
        <v>22</v>
      </c>
      <c r="E1523" s="27" t="s">
        <v>52</v>
      </c>
      <c r="F1523" s="28" t="n">
        <v>2435</v>
      </c>
      <c r="G1523" s="29" t="n">
        <v>2410</v>
      </c>
      <c r="H1523" s="29" t="n">
        <f aca="false">F1523*G1523</f>
        <v>5868350</v>
      </c>
    </row>
    <row r="1524" customFormat="false" ht="15" hidden="false" customHeight="false" outlineLevel="0" collapsed="false">
      <c r="A1524" s="27" t="n">
        <v>2025</v>
      </c>
      <c r="B1524" s="27" t="n">
        <v>4</v>
      </c>
      <c r="C1524" s="27" t="s">
        <v>40</v>
      </c>
      <c r="D1524" s="27" t="s">
        <v>22</v>
      </c>
      <c r="E1524" s="27" t="s">
        <v>54</v>
      </c>
      <c r="F1524" s="28" t="n">
        <v>2059</v>
      </c>
      <c r="G1524" s="29" t="n">
        <v>2420</v>
      </c>
      <c r="H1524" s="29" t="n">
        <f aca="false">F1524*G1524</f>
        <v>4982780</v>
      </c>
    </row>
    <row r="1525" customFormat="false" ht="15" hidden="false" customHeight="false" outlineLevel="0" collapsed="false">
      <c r="A1525" s="27" t="n">
        <v>2025</v>
      </c>
      <c r="B1525" s="27" t="n">
        <v>4</v>
      </c>
      <c r="C1525" s="27" t="s">
        <v>40</v>
      </c>
      <c r="D1525" s="27" t="s">
        <v>22</v>
      </c>
      <c r="E1525" s="27" t="s">
        <v>56</v>
      </c>
      <c r="F1525" s="28" t="n">
        <v>2479</v>
      </c>
      <c r="G1525" s="29" t="n">
        <v>2440</v>
      </c>
      <c r="H1525" s="29" t="n">
        <f aca="false">F1525*G1525</f>
        <v>6048760</v>
      </c>
    </row>
    <row r="1526" customFormat="false" ht="15" hidden="false" customHeight="false" outlineLevel="0" collapsed="false">
      <c r="A1526" s="27" t="n">
        <v>2025</v>
      </c>
      <c r="B1526" s="27" t="n">
        <v>4</v>
      </c>
      <c r="C1526" s="27" t="s">
        <v>40</v>
      </c>
      <c r="D1526" s="27" t="s">
        <v>22</v>
      </c>
      <c r="E1526" s="27" t="s">
        <v>58</v>
      </c>
      <c r="F1526" s="28" t="n">
        <v>1730</v>
      </c>
      <c r="G1526" s="29" t="n">
        <v>2460</v>
      </c>
      <c r="H1526" s="29" t="n">
        <f aca="false">F1526*G1526</f>
        <v>4255800</v>
      </c>
    </row>
    <row r="1527" customFormat="false" ht="15" hidden="false" customHeight="false" outlineLevel="0" collapsed="false">
      <c r="A1527" s="27" t="n">
        <v>2025</v>
      </c>
      <c r="B1527" s="27" t="n">
        <v>4</v>
      </c>
      <c r="C1527" s="27" t="s">
        <v>40</v>
      </c>
      <c r="D1527" s="27" t="s">
        <v>24</v>
      </c>
      <c r="E1527" s="27" t="s">
        <v>50</v>
      </c>
      <c r="F1527" s="28" t="n">
        <v>2478</v>
      </c>
      <c r="G1527" s="29" t="n">
        <v>2240</v>
      </c>
      <c r="H1527" s="29" t="n">
        <f aca="false">F1527*G1527</f>
        <v>5550720</v>
      </c>
    </row>
    <row r="1528" customFormat="false" ht="15" hidden="false" customHeight="false" outlineLevel="0" collapsed="false">
      <c r="A1528" s="27" t="n">
        <v>2025</v>
      </c>
      <c r="B1528" s="27" t="n">
        <v>4</v>
      </c>
      <c r="C1528" s="27" t="s">
        <v>40</v>
      </c>
      <c r="D1528" s="27" t="s">
        <v>24</v>
      </c>
      <c r="E1528" s="27" t="s">
        <v>52</v>
      </c>
      <c r="F1528" s="28" t="n">
        <v>1409</v>
      </c>
      <c r="G1528" s="29" t="n">
        <v>2250</v>
      </c>
      <c r="H1528" s="29" t="n">
        <f aca="false">F1528*G1528</f>
        <v>3170250</v>
      </c>
    </row>
    <row r="1529" customFormat="false" ht="15" hidden="false" customHeight="false" outlineLevel="0" collapsed="false">
      <c r="A1529" s="27" t="n">
        <v>2025</v>
      </c>
      <c r="B1529" s="27" t="n">
        <v>4</v>
      </c>
      <c r="C1529" s="27" t="s">
        <v>40</v>
      </c>
      <c r="D1529" s="27" t="s">
        <v>24</v>
      </c>
      <c r="E1529" s="27" t="s">
        <v>54</v>
      </c>
      <c r="F1529" s="28" t="n">
        <v>1154</v>
      </c>
      <c r="G1529" s="29" t="n">
        <v>2230</v>
      </c>
      <c r="H1529" s="29" t="n">
        <f aca="false">F1529*G1529</f>
        <v>2573420</v>
      </c>
    </row>
    <row r="1530" customFormat="false" ht="15" hidden="false" customHeight="false" outlineLevel="0" collapsed="false">
      <c r="A1530" s="27" t="n">
        <v>2025</v>
      </c>
      <c r="B1530" s="27" t="n">
        <v>4</v>
      </c>
      <c r="C1530" s="27" t="s">
        <v>40</v>
      </c>
      <c r="D1530" s="27" t="s">
        <v>24</v>
      </c>
      <c r="E1530" s="27" t="s">
        <v>56</v>
      </c>
      <c r="F1530" s="28" t="n">
        <v>1371</v>
      </c>
      <c r="G1530" s="29" t="n">
        <v>2250</v>
      </c>
      <c r="H1530" s="29" t="n">
        <f aca="false">F1530*G1530</f>
        <v>3084750</v>
      </c>
    </row>
    <row r="1531" customFormat="false" ht="15" hidden="false" customHeight="false" outlineLevel="0" collapsed="false">
      <c r="A1531" s="27" t="n">
        <v>2025</v>
      </c>
      <c r="B1531" s="27" t="n">
        <v>4</v>
      </c>
      <c r="C1531" s="27" t="s">
        <v>40</v>
      </c>
      <c r="D1531" s="27" t="s">
        <v>24</v>
      </c>
      <c r="E1531" s="27" t="s">
        <v>58</v>
      </c>
      <c r="F1531" s="28" t="n">
        <v>927</v>
      </c>
      <c r="G1531" s="29" t="n">
        <v>2250</v>
      </c>
      <c r="H1531" s="29" t="n">
        <f aca="false">F1531*G1531</f>
        <v>2085750</v>
      </c>
    </row>
    <row r="1532" customFormat="false" ht="15" hidden="false" customHeight="false" outlineLevel="0" collapsed="false">
      <c r="A1532" s="27" t="n">
        <v>2025</v>
      </c>
      <c r="B1532" s="27" t="n">
        <v>4</v>
      </c>
      <c r="C1532" s="27" t="s">
        <v>40</v>
      </c>
      <c r="D1532" s="27" t="s">
        <v>26</v>
      </c>
      <c r="E1532" s="27" t="s">
        <v>50</v>
      </c>
      <c r="F1532" s="28" t="n">
        <v>1273</v>
      </c>
      <c r="G1532" s="29" t="n">
        <v>2720</v>
      </c>
      <c r="H1532" s="29" t="n">
        <f aca="false">F1532*G1532</f>
        <v>3462560</v>
      </c>
    </row>
    <row r="1533" customFormat="false" ht="15" hidden="false" customHeight="false" outlineLevel="0" collapsed="false">
      <c r="A1533" s="27" t="n">
        <v>2025</v>
      </c>
      <c r="B1533" s="27" t="n">
        <v>4</v>
      </c>
      <c r="C1533" s="27" t="s">
        <v>40</v>
      </c>
      <c r="D1533" s="27" t="s">
        <v>26</v>
      </c>
      <c r="E1533" s="27" t="s">
        <v>52</v>
      </c>
      <c r="F1533" s="28" t="n">
        <v>844</v>
      </c>
      <c r="G1533" s="29" t="n">
        <v>2720</v>
      </c>
      <c r="H1533" s="29" t="n">
        <f aca="false">F1533*G1533</f>
        <v>2295680</v>
      </c>
    </row>
    <row r="1534" customFormat="false" ht="15" hidden="false" customHeight="false" outlineLevel="0" collapsed="false">
      <c r="A1534" s="27" t="n">
        <v>2025</v>
      </c>
      <c r="B1534" s="27" t="n">
        <v>4</v>
      </c>
      <c r="C1534" s="27" t="s">
        <v>40</v>
      </c>
      <c r="D1534" s="27" t="s">
        <v>26</v>
      </c>
      <c r="E1534" s="27" t="s">
        <v>54</v>
      </c>
      <c r="F1534" s="28" t="n">
        <v>592</v>
      </c>
      <c r="G1534" s="29" t="n">
        <v>2720</v>
      </c>
      <c r="H1534" s="29" t="n">
        <f aca="false">F1534*G1534</f>
        <v>1610240</v>
      </c>
    </row>
    <row r="1535" customFormat="false" ht="15" hidden="false" customHeight="false" outlineLevel="0" collapsed="false">
      <c r="A1535" s="27" t="n">
        <v>2025</v>
      </c>
      <c r="B1535" s="27" t="n">
        <v>4</v>
      </c>
      <c r="C1535" s="27" t="s">
        <v>40</v>
      </c>
      <c r="D1535" s="27" t="s">
        <v>26</v>
      </c>
      <c r="E1535" s="27" t="s">
        <v>56</v>
      </c>
      <c r="F1535" s="28" t="n">
        <v>723</v>
      </c>
      <c r="G1535" s="29" t="n">
        <v>2730</v>
      </c>
      <c r="H1535" s="29" t="n">
        <f aca="false">F1535*G1535</f>
        <v>1973790</v>
      </c>
    </row>
    <row r="1536" customFormat="false" ht="15" hidden="false" customHeight="false" outlineLevel="0" collapsed="false">
      <c r="A1536" s="27" t="n">
        <v>2025</v>
      </c>
      <c r="B1536" s="27" t="n">
        <v>4</v>
      </c>
      <c r="C1536" s="27" t="s">
        <v>40</v>
      </c>
      <c r="D1536" s="27" t="s">
        <v>26</v>
      </c>
      <c r="E1536" s="27" t="s">
        <v>58</v>
      </c>
      <c r="F1536" s="28" t="n">
        <v>539</v>
      </c>
      <c r="G1536" s="29" t="n">
        <v>2690</v>
      </c>
      <c r="H1536" s="29" t="n">
        <f aca="false">F1536*G1536</f>
        <v>1449910</v>
      </c>
    </row>
    <row r="1537" customFormat="false" ht="15" hidden="false" customHeight="false" outlineLevel="0" collapsed="false">
      <c r="A1537" s="27" t="n">
        <v>2025</v>
      </c>
      <c r="B1537" s="27" t="n">
        <v>4</v>
      </c>
      <c r="C1537" s="27" t="s">
        <v>40</v>
      </c>
      <c r="D1537" s="27" t="s">
        <v>28</v>
      </c>
      <c r="E1537" s="27" t="s">
        <v>50</v>
      </c>
      <c r="F1537" s="28" t="n">
        <v>592</v>
      </c>
      <c r="G1537" s="29" t="n">
        <v>2550</v>
      </c>
      <c r="H1537" s="29" t="n">
        <f aca="false">F1537*G1537</f>
        <v>1509600</v>
      </c>
    </row>
    <row r="1538" customFormat="false" ht="15" hidden="false" customHeight="false" outlineLevel="0" collapsed="false">
      <c r="A1538" s="27" t="n">
        <v>2025</v>
      </c>
      <c r="B1538" s="27" t="n">
        <v>4</v>
      </c>
      <c r="C1538" s="27" t="s">
        <v>40</v>
      </c>
      <c r="D1538" s="27" t="s">
        <v>28</v>
      </c>
      <c r="E1538" s="27" t="s">
        <v>52</v>
      </c>
      <c r="F1538" s="28" t="n">
        <v>327</v>
      </c>
      <c r="G1538" s="29" t="n">
        <v>2570</v>
      </c>
      <c r="H1538" s="29" t="n">
        <f aca="false">F1538*G1538</f>
        <v>840390</v>
      </c>
    </row>
    <row r="1539" customFormat="false" ht="15" hidden="false" customHeight="false" outlineLevel="0" collapsed="false">
      <c r="A1539" s="27" t="n">
        <v>2025</v>
      </c>
      <c r="B1539" s="27" t="n">
        <v>4</v>
      </c>
      <c r="C1539" s="27" t="s">
        <v>40</v>
      </c>
      <c r="D1539" s="27" t="s">
        <v>28</v>
      </c>
      <c r="E1539" s="27" t="s">
        <v>54</v>
      </c>
      <c r="F1539" s="28" t="n">
        <v>302</v>
      </c>
      <c r="G1539" s="29" t="n">
        <v>2530</v>
      </c>
      <c r="H1539" s="29" t="n">
        <f aca="false">F1539*G1539</f>
        <v>764060</v>
      </c>
    </row>
    <row r="1540" customFormat="false" ht="15" hidden="false" customHeight="false" outlineLevel="0" collapsed="false">
      <c r="A1540" s="27" t="n">
        <v>2025</v>
      </c>
      <c r="B1540" s="27" t="n">
        <v>4</v>
      </c>
      <c r="C1540" s="27" t="s">
        <v>40</v>
      </c>
      <c r="D1540" s="27" t="s">
        <v>28</v>
      </c>
      <c r="E1540" s="27" t="s">
        <v>56</v>
      </c>
      <c r="F1540" s="28" t="n">
        <v>337</v>
      </c>
      <c r="G1540" s="29" t="n">
        <v>2500</v>
      </c>
      <c r="H1540" s="29" t="n">
        <f aca="false">F1540*G1540</f>
        <v>842500</v>
      </c>
    </row>
    <row r="1541" customFormat="false" ht="15" hidden="false" customHeight="false" outlineLevel="0" collapsed="false">
      <c r="A1541" s="27" t="n">
        <v>2025</v>
      </c>
      <c r="B1541" s="27" t="n">
        <v>4</v>
      </c>
      <c r="C1541" s="27" t="s">
        <v>40</v>
      </c>
      <c r="D1541" s="27" t="s">
        <v>28</v>
      </c>
      <c r="E1541" s="27" t="s">
        <v>58</v>
      </c>
      <c r="F1541" s="28" t="n">
        <v>216</v>
      </c>
      <c r="G1541" s="29" t="n">
        <v>2570</v>
      </c>
      <c r="H1541" s="29" t="n">
        <f aca="false">F1541*G1541</f>
        <v>555120</v>
      </c>
    </row>
    <row r="1542" customFormat="false" ht="15" hidden="false" customHeight="false" outlineLevel="0" collapsed="false">
      <c r="A1542" s="27" t="n">
        <v>2025</v>
      </c>
      <c r="B1542" s="27" t="n">
        <v>4</v>
      </c>
      <c r="C1542" s="27" t="s">
        <v>42</v>
      </c>
      <c r="D1542" s="27" t="s">
        <v>22</v>
      </c>
      <c r="E1542" s="27" t="s">
        <v>50</v>
      </c>
      <c r="F1542" s="28" t="n">
        <v>4415</v>
      </c>
      <c r="G1542" s="29" t="n">
        <v>2190</v>
      </c>
      <c r="H1542" s="29" t="n">
        <f aca="false">F1542*G1542</f>
        <v>9668850</v>
      </c>
    </row>
    <row r="1543" customFormat="false" ht="15" hidden="false" customHeight="false" outlineLevel="0" collapsed="false">
      <c r="A1543" s="27" t="n">
        <v>2025</v>
      </c>
      <c r="B1543" s="27" t="n">
        <v>4</v>
      </c>
      <c r="C1543" s="27" t="s">
        <v>42</v>
      </c>
      <c r="D1543" s="27" t="s">
        <v>22</v>
      </c>
      <c r="E1543" s="27" t="s">
        <v>52</v>
      </c>
      <c r="F1543" s="28" t="n">
        <v>2858</v>
      </c>
      <c r="G1543" s="29" t="n">
        <v>2200</v>
      </c>
      <c r="H1543" s="29" t="n">
        <f aca="false">F1543*G1543</f>
        <v>6287600</v>
      </c>
    </row>
    <row r="1544" customFormat="false" ht="15" hidden="false" customHeight="false" outlineLevel="0" collapsed="false">
      <c r="A1544" s="27" t="n">
        <v>2025</v>
      </c>
      <c r="B1544" s="27" t="n">
        <v>4</v>
      </c>
      <c r="C1544" s="27" t="s">
        <v>42</v>
      </c>
      <c r="D1544" s="27" t="s">
        <v>22</v>
      </c>
      <c r="E1544" s="27" t="s">
        <v>54</v>
      </c>
      <c r="F1544" s="28" t="n">
        <v>2207</v>
      </c>
      <c r="G1544" s="29" t="n">
        <v>2230</v>
      </c>
      <c r="H1544" s="29" t="n">
        <f aca="false">F1544*G1544</f>
        <v>4921610</v>
      </c>
    </row>
    <row r="1545" customFormat="false" ht="15" hidden="false" customHeight="false" outlineLevel="0" collapsed="false">
      <c r="A1545" s="27" t="n">
        <v>2025</v>
      </c>
      <c r="B1545" s="27" t="n">
        <v>4</v>
      </c>
      <c r="C1545" s="27" t="s">
        <v>42</v>
      </c>
      <c r="D1545" s="27" t="s">
        <v>22</v>
      </c>
      <c r="E1545" s="27" t="s">
        <v>56</v>
      </c>
      <c r="F1545" s="28" t="n">
        <v>2528</v>
      </c>
      <c r="G1545" s="29" t="n">
        <v>2200</v>
      </c>
      <c r="H1545" s="29" t="n">
        <f aca="false">F1545*G1545</f>
        <v>5561600</v>
      </c>
    </row>
    <row r="1546" customFormat="false" ht="15" hidden="false" customHeight="false" outlineLevel="0" collapsed="false">
      <c r="A1546" s="27" t="n">
        <v>2025</v>
      </c>
      <c r="B1546" s="27" t="n">
        <v>4</v>
      </c>
      <c r="C1546" s="27" t="s">
        <v>42</v>
      </c>
      <c r="D1546" s="27" t="s">
        <v>22</v>
      </c>
      <c r="E1546" s="27" t="s">
        <v>58</v>
      </c>
      <c r="F1546" s="28" t="n">
        <v>1851</v>
      </c>
      <c r="G1546" s="29" t="n">
        <v>2240</v>
      </c>
      <c r="H1546" s="29" t="n">
        <f aca="false">F1546*G1546</f>
        <v>4146240</v>
      </c>
    </row>
    <row r="1547" customFormat="false" ht="15" hidden="false" customHeight="false" outlineLevel="0" collapsed="false">
      <c r="A1547" s="27" t="n">
        <v>2025</v>
      </c>
      <c r="B1547" s="27" t="n">
        <v>4</v>
      </c>
      <c r="C1547" s="27" t="s">
        <v>42</v>
      </c>
      <c r="D1547" s="27" t="s">
        <v>24</v>
      </c>
      <c r="E1547" s="27" t="s">
        <v>50</v>
      </c>
      <c r="F1547" s="28" t="n">
        <v>2779</v>
      </c>
      <c r="G1547" s="29" t="n">
        <v>2050</v>
      </c>
      <c r="H1547" s="29" t="n">
        <f aca="false">F1547*G1547</f>
        <v>5696950</v>
      </c>
    </row>
    <row r="1548" customFormat="false" ht="15" hidden="false" customHeight="false" outlineLevel="0" collapsed="false">
      <c r="A1548" s="27" t="n">
        <v>2025</v>
      </c>
      <c r="B1548" s="27" t="n">
        <v>4</v>
      </c>
      <c r="C1548" s="27" t="s">
        <v>42</v>
      </c>
      <c r="D1548" s="27" t="s">
        <v>24</v>
      </c>
      <c r="E1548" s="27" t="s">
        <v>52</v>
      </c>
      <c r="F1548" s="28" t="n">
        <v>1713</v>
      </c>
      <c r="G1548" s="29" t="n">
        <v>2040</v>
      </c>
      <c r="H1548" s="29" t="n">
        <f aca="false">F1548*G1548</f>
        <v>3494520</v>
      </c>
    </row>
    <row r="1549" customFormat="false" ht="15" hidden="false" customHeight="false" outlineLevel="0" collapsed="false">
      <c r="A1549" s="27" t="n">
        <v>2025</v>
      </c>
      <c r="B1549" s="27" t="n">
        <v>4</v>
      </c>
      <c r="C1549" s="27" t="s">
        <v>42</v>
      </c>
      <c r="D1549" s="27" t="s">
        <v>24</v>
      </c>
      <c r="E1549" s="27" t="s">
        <v>54</v>
      </c>
      <c r="F1549" s="28" t="n">
        <v>1428</v>
      </c>
      <c r="G1549" s="29" t="n">
        <v>2040</v>
      </c>
      <c r="H1549" s="29" t="n">
        <f aca="false">F1549*G1549</f>
        <v>2913120</v>
      </c>
    </row>
    <row r="1550" customFormat="false" ht="15" hidden="false" customHeight="false" outlineLevel="0" collapsed="false">
      <c r="A1550" s="27" t="n">
        <v>2025</v>
      </c>
      <c r="B1550" s="27" t="n">
        <v>4</v>
      </c>
      <c r="C1550" s="27" t="s">
        <v>42</v>
      </c>
      <c r="D1550" s="27" t="s">
        <v>24</v>
      </c>
      <c r="E1550" s="27" t="s">
        <v>56</v>
      </c>
      <c r="F1550" s="28" t="n">
        <v>1657</v>
      </c>
      <c r="G1550" s="29" t="n">
        <v>2050</v>
      </c>
      <c r="H1550" s="29" t="n">
        <f aca="false">F1550*G1550</f>
        <v>3396850</v>
      </c>
    </row>
    <row r="1551" customFormat="false" ht="15" hidden="false" customHeight="false" outlineLevel="0" collapsed="false">
      <c r="A1551" s="27" t="n">
        <v>2025</v>
      </c>
      <c r="B1551" s="27" t="n">
        <v>4</v>
      </c>
      <c r="C1551" s="27" t="s">
        <v>42</v>
      </c>
      <c r="D1551" s="27" t="s">
        <v>24</v>
      </c>
      <c r="E1551" s="27" t="s">
        <v>58</v>
      </c>
      <c r="F1551" s="28" t="n">
        <v>1170</v>
      </c>
      <c r="G1551" s="29" t="n">
        <v>2070</v>
      </c>
      <c r="H1551" s="29" t="n">
        <f aca="false">F1551*G1551</f>
        <v>2421900</v>
      </c>
    </row>
    <row r="1552" customFormat="false" ht="15" hidden="false" customHeight="false" outlineLevel="0" collapsed="false">
      <c r="A1552" s="27" t="n">
        <v>2025</v>
      </c>
      <c r="B1552" s="27" t="n">
        <v>4</v>
      </c>
      <c r="C1552" s="27" t="s">
        <v>42</v>
      </c>
      <c r="D1552" s="27" t="s">
        <v>26</v>
      </c>
      <c r="E1552" s="27" t="s">
        <v>50</v>
      </c>
      <c r="F1552" s="28" t="n">
        <v>1265</v>
      </c>
      <c r="G1552" s="29" t="n">
        <v>2470</v>
      </c>
      <c r="H1552" s="29" t="n">
        <f aca="false">F1552*G1552</f>
        <v>3124550</v>
      </c>
    </row>
    <row r="1553" customFormat="false" ht="15" hidden="false" customHeight="false" outlineLevel="0" collapsed="false">
      <c r="A1553" s="27" t="n">
        <v>2025</v>
      </c>
      <c r="B1553" s="27" t="n">
        <v>4</v>
      </c>
      <c r="C1553" s="27" t="s">
        <v>42</v>
      </c>
      <c r="D1553" s="27" t="s">
        <v>26</v>
      </c>
      <c r="E1553" s="27" t="s">
        <v>52</v>
      </c>
      <c r="F1553" s="28" t="n">
        <v>866</v>
      </c>
      <c r="G1553" s="29" t="n">
        <v>2510</v>
      </c>
      <c r="H1553" s="29" t="n">
        <f aca="false">F1553*G1553</f>
        <v>2173660</v>
      </c>
    </row>
    <row r="1554" customFormat="false" ht="15" hidden="false" customHeight="false" outlineLevel="0" collapsed="false">
      <c r="A1554" s="27" t="n">
        <v>2025</v>
      </c>
      <c r="B1554" s="27" t="n">
        <v>4</v>
      </c>
      <c r="C1554" s="27" t="s">
        <v>42</v>
      </c>
      <c r="D1554" s="27" t="s">
        <v>26</v>
      </c>
      <c r="E1554" s="27" t="s">
        <v>54</v>
      </c>
      <c r="F1554" s="28" t="n">
        <v>664</v>
      </c>
      <c r="G1554" s="29" t="n">
        <v>2480</v>
      </c>
      <c r="H1554" s="29" t="n">
        <f aca="false">F1554*G1554</f>
        <v>1646720</v>
      </c>
    </row>
    <row r="1555" customFormat="false" ht="15" hidden="false" customHeight="false" outlineLevel="0" collapsed="false">
      <c r="A1555" s="27" t="n">
        <v>2025</v>
      </c>
      <c r="B1555" s="27" t="n">
        <v>4</v>
      </c>
      <c r="C1555" s="27" t="s">
        <v>42</v>
      </c>
      <c r="D1555" s="27" t="s">
        <v>26</v>
      </c>
      <c r="E1555" s="27" t="s">
        <v>56</v>
      </c>
      <c r="F1555" s="28" t="n">
        <v>821</v>
      </c>
      <c r="G1555" s="29" t="n">
        <v>2480</v>
      </c>
      <c r="H1555" s="29" t="n">
        <f aca="false">F1555*G1555</f>
        <v>2036080</v>
      </c>
    </row>
    <row r="1556" customFormat="false" ht="15" hidden="false" customHeight="false" outlineLevel="0" collapsed="false">
      <c r="A1556" s="27" t="n">
        <v>2025</v>
      </c>
      <c r="B1556" s="27" t="n">
        <v>4</v>
      </c>
      <c r="C1556" s="27" t="s">
        <v>42</v>
      </c>
      <c r="D1556" s="27" t="s">
        <v>26</v>
      </c>
      <c r="E1556" s="27" t="s">
        <v>58</v>
      </c>
      <c r="F1556" s="28" t="n">
        <v>506</v>
      </c>
      <c r="G1556" s="29" t="n">
        <v>2460</v>
      </c>
      <c r="H1556" s="29" t="n">
        <f aca="false">F1556*G1556</f>
        <v>1244760</v>
      </c>
    </row>
    <row r="1557" customFormat="false" ht="15" hidden="false" customHeight="false" outlineLevel="0" collapsed="false">
      <c r="A1557" s="27" t="n">
        <v>2025</v>
      </c>
      <c r="B1557" s="27" t="n">
        <v>4</v>
      </c>
      <c r="C1557" s="27" t="s">
        <v>42</v>
      </c>
      <c r="D1557" s="27" t="s">
        <v>28</v>
      </c>
      <c r="E1557" s="27" t="s">
        <v>50</v>
      </c>
      <c r="F1557" s="28" t="n">
        <v>637</v>
      </c>
      <c r="G1557" s="29" t="n">
        <v>2350</v>
      </c>
      <c r="H1557" s="29" t="n">
        <f aca="false">F1557*G1557</f>
        <v>1496950</v>
      </c>
    </row>
    <row r="1558" customFormat="false" ht="15" hidden="false" customHeight="false" outlineLevel="0" collapsed="false">
      <c r="A1558" s="27" t="n">
        <v>2025</v>
      </c>
      <c r="B1558" s="27" t="n">
        <v>4</v>
      </c>
      <c r="C1558" s="27" t="s">
        <v>42</v>
      </c>
      <c r="D1558" s="27" t="s">
        <v>28</v>
      </c>
      <c r="E1558" s="27" t="s">
        <v>52</v>
      </c>
      <c r="F1558" s="28" t="n">
        <v>425</v>
      </c>
      <c r="G1558" s="29" t="n">
        <v>2340</v>
      </c>
      <c r="H1558" s="29" t="n">
        <f aca="false">F1558*G1558</f>
        <v>994500</v>
      </c>
    </row>
    <row r="1559" customFormat="false" ht="15" hidden="false" customHeight="false" outlineLevel="0" collapsed="false">
      <c r="A1559" s="27" t="n">
        <v>2025</v>
      </c>
      <c r="B1559" s="27" t="n">
        <v>4</v>
      </c>
      <c r="C1559" s="27" t="s">
        <v>42</v>
      </c>
      <c r="D1559" s="27" t="s">
        <v>28</v>
      </c>
      <c r="E1559" s="27" t="s">
        <v>54</v>
      </c>
      <c r="F1559" s="28" t="n">
        <v>319</v>
      </c>
      <c r="G1559" s="29" t="n">
        <v>2340</v>
      </c>
      <c r="H1559" s="29" t="n">
        <f aca="false">F1559*G1559</f>
        <v>746460</v>
      </c>
    </row>
    <row r="1560" customFormat="false" ht="15" hidden="false" customHeight="false" outlineLevel="0" collapsed="false">
      <c r="A1560" s="27" t="n">
        <v>2025</v>
      </c>
      <c r="B1560" s="27" t="n">
        <v>4</v>
      </c>
      <c r="C1560" s="27" t="s">
        <v>42</v>
      </c>
      <c r="D1560" s="27" t="s">
        <v>28</v>
      </c>
      <c r="E1560" s="27" t="s">
        <v>56</v>
      </c>
      <c r="F1560" s="28" t="n">
        <v>361</v>
      </c>
      <c r="G1560" s="29" t="n">
        <v>2320</v>
      </c>
      <c r="H1560" s="29" t="n">
        <f aca="false">F1560*G1560</f>
        <v>837520</v>
      </c>
    </row>
    <row r="1561" customFormat="false" ht="15" hidden="false" customHeight="false" outlineLevel="0" collapsed="false">
      <c r="A1561" s="27" t="n">
        <v>2025</v>
      </c>
      <c r="B1561" s="27" t="n">
        <v>4</v>
      </c>
      <c r="C1561" s="27" t="s">
        <v>42</v>
      </c>
      <c r="D1561" s="27" t="s">
        <v>28</v>
      </c>
      <c r="E1561" s="27" t="s">
        <v>58</v>
      </c>
      <c r="F1561" s="28" t="n">
        <v>245</v>
      </c>
      <c r="G1561" s="29" t="n">
        <v>2300</v>
      </c>
      <c r="H1561" s="29" t="n">
        <f aca="false">F1561*G1561</f>
        <v>563500</v>
      </c>
    </row>
    <row r="1562" customFormat="false" ht="15" hidden="false" customHeight="false" outlineLevel="0" collapsed="false">
      <c r="A1562" s="27" t="n">
        <v>2025</v>
      </c>
      <c r="B1562" s="27" t="n">
        <v>4</v>
      </c>
      <c r="C1562" s="27" t="s">
        <v>44</v>
      </c>
      <c r="D1562" s="27" t="s">
        <v>22</v>
      </c>
      <c r="E1562" s="27" t="s">
        <v>50</v>
      </c>
      <c r="F1562" s="28" t="n">
        <v>3104</v>
      </c>
      <c r="G1562" s="29" t="n">
        <v>4120</v>
      </c>
      <c r="H1562" s="29" t="n">
        <f aca="false">F1562*G1562</f>
        <v>12788480</v>
      </c>
    </row>
    <row r="1563" customFormat="false" ht="15" hidden="false" customHeight="false" outlineLevel="0" collapsed="false">
      <c r="A1563" s="27" t="n">
        <v>2025</v>
      </c>
      <c r="B1563" s="27" t="n">
        <v>4</v>
      </c>
      <c r="C1563" s="27" t="s">
        <v>44</v>
      </c>
      <c r="D1563" s="27" t="s">
        <v>22</v>
      </c>
      <c r="E1563" s="27" t="s">
        <v>52</v>
      </c>
      <c r="F1563" s="28" t="n">
        <v>1974</v>
      </c>
      <c r="G1563" s="29" t="n">
        <v>4140</v>
      </c>
      <c r="H1563" s="29" t="n">
        <f aca="false">F1563*G1563</f>
        <v>8172360</v>
      </c>
    </row>
    <row r="1564" customFormat="false" ht="15" hidden="false" customHeight="false" outlineLevel="0" collapsed="false">
      <c r="A1564" s="27" t="n">
        <v>2025</v>
      </c>
      <c r="B1564" s="27" t="n">
        <v>4</v>
      </c>
      <c r="C1564" s="27" t="s">
        <v>44</v>
      </c>
      <c r="D1564" s="27" t="s">
        <v>22</v>
      </c>
      <c r="E1564" s="27" t="s">
        <v>54</v>
      </c>
      <c r="F1564" s="28" t="n">
        <v>1545</v>
      </c>
      <c r="G1564" s="29" t="n">
        <v>4140</v>
      </c>
      <c r="H1564" s="29" t="n">
        <f aca="false">F1564*G1564</f>
        <v>6396300</v>
      </c>
    </row>
    <row r="1565" customFormat="false" ht="15" hidden="false" customHeight="false" outlineLevel="0" collapsed="false">
      <c r="A1565" s="27" t="n">
        <v>2025</v>
      </c>
      <c r="B1565" s="27" t="n">
        <v>4</v>
      </c>
      <c r="C1565" s="27" t="s">
        <v>44</v>
      </c>
      <c r="D1565" s="27" t="s">
        <v>22</v>
      </c>
      <c r="E1565" s="27" t="s">
        <v>56</v>
      </c>
      <c r="F1565" s="28" t="n">
        <v>1809</v>
      </c>
      <c r="G1565" s="29" t="n">
        <v>4130</v>
      </c>
      <c r="H1565" s="29" t="n">
        <f aca="false">F1565*G1565</f>
        <v>7471170</v>
      </c>
    </row>
    <row r="1566" customFormat="false" ht="15" hidden="false" customHeight="false" outlineLevel="0" collapsed="false">
      <c r="A1566" s="27" t="n">
        <v>2025</v>
      </c>
      <c r="B1566" s="27" t="n">
        <v>4</v>
      </c>
      <c r="C1566" s="27" t="s">
        <v>44</v>
      </c>
      <c r="D1566" s="27" t="s">
        <v>22</v>
      </c>
      <c r="E1566" s="27" t="s">
        <v>58</v>
      </c>
      <c r="F1566" s="28" t="n">
        <v>1195</v>
      </c>
      <c r="G1566" s="29" t="n">
        <v>4130</v>
      </c>
      <c r="H1566" s="29" t="n">
        <f aca="false">F1566*G1566</f>
        <v>4935350</v>
      </c>
    </row>
    <row r="1567" customFormat="false" ht="15" hidden="false" customHeight="false" outlineLevel="0" collapsed="false">
      <c r="A1567" s="27" t="n">
        <v>2025</v>
      </c>
      <c r="B1567" s="27" t="n">
        <v>4</v>
      </c>
      <c r="C1567" s="27" t="s">
        <v>44</v>
      </c>
      <c r="D1567" s="27" t="s">
        <v>24</v>
      </c>
      <c r="E1567" s="27" t="s">
        <v>50</v>
      </c>
      <c r="F1567" s="28" t="n">
        <v>1827</v>
      </c>
      <c r="G1567" s="29" t="n">
        <v>3800</v>
      </c>
      <c r="H1567" s="29" t="n">
        <f aca="false">F1567*G1567</f>
        <v>6942600</v>
      </c>
    </row>
    <row r="1568" customFormat="false" ht="15" hidden="false" customHeight="false" outlineLevel="0" collapsed="false">
      <c r="A1568" s="27" t="n">
        <v>2025</v>
      </c>
      <c r="B1568" s="27" t="n">
        <v>4</v>
      </c>
      <c r="C1568" s="27" t="s">
        <v>44</v>
      </c>
      <c r="D1568" s="27" t="s">
        <v>24</v>
      </c>
      <c r="E1568" s="27" t="s">
        <v>52</v>
      </c>
      <c r="F1568" s="28" t="n">
        <v>1108</v>
      </c>
      <c r="G1568" s="29" t="n">
        <v>3800</v>
      </c>
      <c r="H1568" s="29" t="n">
        <f aca="false">F1568*G1568</f>
        <v>4210400</v>
      </c>
    </row>
    <row r="1569" customFormat="false" ht="15" hidden="false" customHeight="false" outlineLevel="0" collapsed="false">
      <c r="A1569" s="27" t="n">
        <v>2025</v>
      </c>
      <c r="B1569" s="27" t="n">
        <v>4</v>
      </c>
      <c r="C1569" s="27" t="s">
        <v>44</v>
      </c>
      <c r="D1569" s="27" t="s">
        <v>24</v>
      </c>
      <c r="E1569" s="27" t="s">
        <v>54</v>
      </c>
      <c r="F1569" s="28" t="n">
        <v>861</v>
      </c>
      <c r="G1569" s="29" t="n">
        <v>3780</v>
      </c>
      <c r="H1569" s="29" t="n">
        <f aca="false">F1569*G1569</f>
        <v>3254580</v>
      </c>
    </row>
    <row r="1570" customFormat="false" ht="15" hidden="false" customHeight="false" outlineLevel="0" collapsed="false">
      <c r="A1570" s="27" t="n">
        <v>2025</v>
      </c>
      <c r="B1570" s="27" t="n">
        <v>4</v>
      </c>
      <c r="C1570" s="27" t="s">
        <v>44</v>
      </c>
      <c r="D1570" s="27" t="s">
        <v>24</v>
      </c>
      <c r="E1570" s="27" t="s">
        <v>56</v>
      </c>
      <c r="F1570" s="28" t="n">
        <v>1116</v>
      </c>
      <c r="G1570" s="29" t="n">
        <v>3870</v>
      </c>
      <c r="H1570" s="29" t="n">
        <f aca="false">F1570*G1570</f>
        <v>4318920</v>
      </c>
    </row>
    <row r="1571" customFormat="false" ht="15" hidden="false" customHeight="false" outlineLevel="0" collapsed="false">
      <c r="A1571" s="27" t="n">
        <v>2025</v>
      </c>
      <c r="B1571" s="27" t="n">
        <v>4</v>
      </c>
      <c r="C1571" s="27" t="s">
        <v>44</v>
      </c>
      <c r="D1571" s="27" t="s">
        <v>24</v>
      </c>
      <c r="E1571" s="27" t="s">
        <v>58</v>
      </c>
      <c r="F1571" s="28" t="n">
        <v>737</v>
      </c>
      <c r="G1571" s="29" t="n">
        <v>3900</v>
      </c>
      <c r="H1571" s="29" t="n">
        <f aca="false">F1571*G1571</f>
        <v>2874300</v>
      </c>
    </row>
    <row r="1572" customFormat="false" ht="15" hidden="false" customHeight="false" outlineLevel="0" collapsed="false">
      <c r="A1572" s="27" t="n">
        <v>2025</v>
      </c>
      <c r="B1572" s="27" t="n">
        <v>4</v>
      </c>
      <c r="C1572" s="27" t="s">
        <v>44</v>
      </c>
      <c r="D1572" s="27" t="s">
        <v>26</v>
      </c>
      <c r="E1572" s="27" t="s">
        <v>50</v>
      </c>
      <c r="F1572" s="28" t="n">
        <v>892</v>
      </c>
      <c r="G1572" s="29" t="n">
        <v>4750</v>
      </c>
      <c r="H1572" s="29" t="n">
        <f aca="false">F1572*G1572</f>
        <v>4237000</v>
      </c>
    </row>
    <row r="1573" customFormat="false" ht="15" hidden="false" customHeight="false" outlineLevel="0" collapsed="false">
      <c r="A1573" s="27" t="n">
        <v>2025</v>
      </c>
      <c r="B1573" s="27" t="n">
        <v>4</v>
      </c>
      <c r="C1573" s="27" t="s">
        <v>44</v>
      </c>
      <c r="D1573" s="27" t="s">
        <v>26</v>
      </c>
      <c r="E1573" s="27" t="s">
        <v>52</v>
      </c>
      <c r="F1573" s="28" t="n">
        <v>556</v>
      </c>
      <c r="G1573" s="29" t="n">
        <v>4620</v>
      </c>
      <c r="H1573" s="29" t="n">
        <f aca="false">F1573*G1573</f>
        <v>2568720</v>
      </c>
    </row>
    <row r="1574" customFormat="false" ht="15" hidden="false" customHeight="false" outlineLevel="0" collapsed="false">
      <c r="A1574" s="27" t="n">
        <v>2025</v>
      </c>
      <c r="B1574" s="27" t="n">
        <v>4</v>
      </c>
      <c r="C1574" s="27" t="s">
        <v>44</v>
      </c>
      <c r="D1574" s="27" t="s">
        <v>26</v>
      </c>
      <c r="E1574" s="27" t="s">
        <v>54</v>
      </c>
      <c r="F1574" s="28" t="n">
        <v>441</v>
      </c>
      <c r="G1574" s="29" t="n">
        <v>4630</v>
      </c>
      <c r="H1574" s="29" t="n">
        <f aca="false">F1574*G1574</f>
        <v>2041830</v>
      </c>
    </row>
    <row r="1575" customFormat="false" ht="15" hidden="false" customHeight="false" outlineLevel="0" collapsed="false">
      <c r="A1575" s="27" t="n">
        <v>2025</v>
      </c>
      <c r="B1575" s="27" t="n">
        <v>4</v>
      </c>
      <c r="C1575" s="27" t="s">
        <v>44</v>
      </c>
      <c r="D1575" s="27" t="s">
        <v>26</v>
      </c>
      <c r="E1575" s="27" t="s">
        <v>56</v>
      </c>
      <c r="F1575" s="28" t="n">
        <v>557</v>
      </c>
      <c r="G1575" s="29" t="n">
        <v>4600</v>
      </c>
      <c r="H1575" s="29" t="n">
        <f aca="false">F1575*G1575</f>
        <v>2562200</v>
      </c>
    </row>
    <row r="1576" customFormat="false" ht="15" hidden="false" customHeight="false" outlineLevel="0" collapsed="false">
      <c r="A1576" s="27" t="n">
        <v>2025</v>
      </c>
      <c r="B1576" s="27" t="n">
        <v>4</v>
      </c>
      <c r="C1576" s="27" t="s">
        <v>44</v>
      </c>
      <c r="D1576" s="27" t="s">
        <v>26</v>
      </c>
      <c r="E1576" s="27" t="s">
        <v>58</v>
      </c>
      <c r="F1576" s="28" t="n">
        <v>398</v>
      </c>
      <c r="G1576" s="29" t="n">
        <v>4620</v>
      </c>
      <c r="H1576" s="29" t="n">
        <f aca="false">F1576*G1576</f>
        <v>1838760</v>
      </c>
    </row>
    <row r="1577" customFormat="false" ht="15" hidden="false" customHeight="false" outlineLevel="0" collapsed="false">
      <c r="A1577" s="27" t="n">
        <v>2025</v>
      </c>
      <c r="B1577" s="27" t="n">
        <v>4</v>
      </c>
      <c r="C1577" s="27" t="s">
        <v>44</v>
      </c>
      <c r="D1577" s="27" t="s">
        <v>28</v>
      </c>
      <c r="E1577" s="27" t="s">
        <v>50</v>
      </c>
      <c r="F1577" s="28" t="n">
        <v>431</v>
      </c>
      <c r="G1577" s="29" t="n">
        <v>4280</v>
      </c>
      <c r="H1577" s="29" t="n">
        <f aca="false">F1577*G1577</f>
        <v>1844680</v>
      </c>
    </row>
    <row r="1578" customFormat="false" ht="15" hidden="false" customHeight="false" outlineLevel="0" collapsed="false">
      <c r="A1578" s="27" t="n">
        <v>2025</v>
      </c>
      <c r="B1578" s="27" t="n">
        <v>4</v>
      </c>
      <c r="C1578" s="27" t="s">
        <v>44</v>
      </c>
      <c r="D1578" s="27" t="s">
        <v>28</v>
      </c>
      <c r="E1578" s="27" t="s">
        <v>52</v>
      </c>
      <c r="F1578" s="28" t="n">
        <v>271</v>
      </c>
      <c r="G1578" s="29" t="n">
        <v>4310</v>
      </c>
      <c r="H1578" s="29" t="n">
        <f aca="false">F1578*G1578</f>
        <v>1168010</v>
      </c>
    </row>
    <row r="1579" customFormat="false" ht="15" hidden="false" customHeight="false" outlineLevel="0" collapsed="false">
      <c r="A1579" s="27" t="n">
        <v>2025</v>
      </c>
      <c r="B1579" s="27" t="n">
        <v>4</v>
      </c>
      <c r="C1579" s="27" t="s">
        <v>44</v>
      </c>
      <c r="D1579" s="27" t="s">
        <v>28</v>
      </c>
      <c r="E1579" s="27" t="s">
        <v>54</v>
      </c>
      <c r="F1579" s="28" t="n">
        <v>206</v>
      </c>
      <c r="G1579" s="29" t="n">
        <v>4290</v>
      </c>
      <c r="H1579" s="29" t="n">
        <f aca="false">F1579*G1579</f>
        <v>883740</v>
      </c>
    </row>
    <row r="1580" customFormat="false" ht="15" hidden="false" customHeight="false" outlineLevel="0" collapsed="false">
      <c r="A1580" s="27" t="n">
        <v>2025</v>
      </c>
      <c r="B1580" s="27" t="n">
        <v>4</v>
      </c>
      <c r="C1580" s="27" t="s">
        <v>44</v>
      </c>
      <c r="D1580" s="27" t="s">
        <v>28</v>
      </c>
      <c r="E1580" s="27" t="s">
        <v>56</v>
      </c>
      <c r="F1580" s="28" t="n">
        <v>286</v>
      </c>
      <c r="G1580" s="29" t="n">
        <v>4310</v>
      </c>
      <c r="H1580" s="29" t="n">
        <f aca="false">F1580*G1580</f>
        <v>1232660</v>
      </c>
    </row>
    <row r="1581" customFormat="false" ht="15" hidden="false" customHeight="false" outlineLevel="0" collapsed="false">
      <c r="A1581" s="27" t="n">
        <v>2025</v>
      </c>
      <c r="B1581" s="27" t="n">
        <v>4</v>
      </c>
      <c r="C1581" s="27" t="s">
        <v>44</v>
      </c>
      <c r="D1581" s="27" t="s">
        <v>28</v>
      </c>
      <c r="E1581" s="27" t="s">
        <v>58</v>
      </c>
      <c r="F1581" s="28" t="n">
        <v>160</v>
      </c>
      <c r="G1581" s="29" t="n">
        <v>4290</v>
      </c>
      <c r="H1581" s="29" t="n">
        <f aca="false">F1581*G1581</f>
        <v>686400</v>
      </c>
    </row>
    <row r="1582" customFormat="false" ht="15" hidden="false" customHeight="false" outlineLevel="0" collapsed="false">
      <c r="A1582" s="27" t="n">
        <v>2025</v>
      </c>
      <c r="B1582" s="27" t="n">
        <v>4</v>
      </c>
      <c r="C1582" s="27" t="s">
        <v>45</v>
      </c>
      <c r="D1582" s="27" t="s">
        <v>22</v>
      </c>
      <c r="E1582" s="27" t="s">
        <v>50</v>
      </c>
      <c r="F1582" s="28" t="n">
        <v>3123</v>
      </c>
      <c r="G1582" s="29" t="n">
        <v>2550</v>
      </c>
      <c r="H1582" s="29" t="n">
        <f aca="false">F1582*G1582</f>
        <v>7963650</v>
      </c>
    </row>
    <row r="1583" customFormat="false" ht="15" hidden="false" customHeight="false" outlineLevel="0" collapsed="false">
      <c r="A1583" s="27" t="n">
        <v>2025</v>
      </c>
      <c r="B1583" s="27" t="n">
        <v>4</v>
      </c>
      <c r="C1583" s="27" t="s">
        <v>45</v>
      </c>
      <c r="D1583" s="27" t="s">
        <v>22</v>
      </c>
      <c r="E1583" s="27" t="s">
        <v>52</v>
      </c>
      <c r="F1583" s="28" t="n">
        <v>2011</v>
      </c>
      <c r="G1583" s="29" t="n">
        <v>2550</v>
      </c>
      <c r="H1583" s="29" t="n">
        <f aca="false">F1583*G1583</f>
        <v>5128050</v>
      </c>
    </row>
    <row r="1584" customFormat="false" ht="15" hidden="false" customHeight="false" outlineLevel="0" collapsed="false">
      <c r="A1584" s="27" t="n">
        <v>2025</v>
      </c>
      <c r="B1584" s="27" t="n">
        <v>4</v>
      </c>
      <c r="C1584" s="27" t="s">
        <v>45</v>
      </c>
      <c r="D1584" s="27" t="s">
        <v>22</v>
      </c>
      <c r="E1584" s="27" t="s">
        <v>54</v>
      </c>
      <c r="F1584" s="28" t="n">
        <v>1515</v>
      </c>
      <c r="G1584" s="29" t="n">
        <v>2540</v>
      </c>
      <c r="H1584" s="29" t="n">
        <f aca="false">F1584*G1584</f>
        <v>3848100</v>
      </c>
    </row>
    <row r="1585" customFormat="false" ht="15" hidden="false" customHeight="false" outlineLevel="0" collapsed="false">
      <c r="A1585" s="27" t="n">
        <v>2025</v>
      </c>
      <c r="B1585" s="27" t="n">
        <v>4</v>
      </c>
      <c r="C1585" s="27" t="s">
        <v>45</v>
      </c>
      <c r="D1585" s="27" t="s">
        <v>22</v>
      </c>
      <c r="E1585" s="27" t="s">
        <v>56</v>
      </c>
      <c r="F1585" s="28" t="n">
        <v>1778</v>
      </c>
      <c r="G1585" s="29" t="n">
        <v>2520</v>
      </c>
      <c r="H1585" s="29" t="n">
        <f aca="false">F1585*G1585</f>
        <v>4480560</v>
      </c>
    </row>
    <row r="1586" customFormat="false" ht="15" hidden="false" customHeight="false" outlineLevel="0" collapsed="false">
      <c r="A1586" s="27" t="n">
        <v>2025</v>
      </c>
      <c r="B1586" s="27" t="n">
        <v>4</v>
      </c>
      <c r="C1586" s="27" t="s">
        <v>45</v>
      </c>
      <c r="D1586" s="27" t="s">
        <v>22</v>
      </c>
      <c r="E1586" s="27" t="s">
        <v>58</v>
      </c>
      <c r="F1586" s="28" t="n">
        <v>1214</v>
      </c>
      <c r="G1586" s="29" t="n">
        <v>2500</v>
      </c>
      <c r="H1586" s="29" t="n">
        <f aca="false">F1586*G1586</f>
        <v>3035000</v>
      </c>
    </row>
    <row r="1587" customFormat="false" ht="15" hidden="false" customHeight="false" outlineLevel="0" collapsed="false">
      <c r="A1587" s="27" t="n">
        <v>2025</v>
      </c>
      <c r="B1587" s="27" t="n">
        <v>4</v>
      </c>
      <c r="C1587" s="27" t="s">
        <v>45</v>
      </c>
      <c r="D1587" s="27" t="s">
        <v>24</v>
      </c>
      <c r="E1587" s="27" t="s">
        <v>50</v>
      </c>
      <c r="F1587" s="28" t="n">
        <v>1909</v>
      </c>
      <c r="G1587" s="29" t="n">
        <v>2370</v>
      </c>
      <c r="H1587" s="29" t="n">
        <f aca="false">F1587*G1587</f>
        <v>4524330</v>
      </c>
    </row>
    <row r="1588" customFormat="false" ht="15" hidden="false" customHeight="false" outlineLevel="0" collapsed="false">
      <c r="A1588" s="27" t="n">
        <v>2025</v>
      </c>
      <c r="B1588" s="27" t="n">
        <v>4</v>
      </c>
      <c r="C1588" s="27" t="s">
        <v>45</v>
      </c>
      <c r="D1588" s="27" t="s">
        <v>24</v>
      </c>
      <c r="E1588" s="27" t="s">
        <v>52</v>
      </c>
      <c r="F1588" s="28" t="n">
        <v>1188</v>
      </c>
      <c r="G1588" s="29" t="n">
        <v>2360</v>
      </c>
      <c r="H1588" s="29" t="n">
        <f aca="false">F1588*G1588</f>
        <v>2803680</v>
      </c>
    </row>
    <row r="1589" customFormat="false" ht="15" hidden="false" customHeight="false" outlineLevel="0" collapsed="false">
      <c r="A1589" s="27" t="n">
        <v>2025</v>
      </c>
      <c r="B1589" s="27" t="n">
        <v>4</v>
      </c>
      <c r="C1589" s="27" t="s">
        <v>45</v>
      </c>
      <c r="D1589" s="27" t="s">
        <v>24</v>
      </c>
      <c r="E1589" s="27" t="s">
        <v>54</v>
      </c>
      <c r="F1589" s="28" t="n">
        <v>942</v>
      </c>
      <c r="G1589" s="29" t="n">
        <v>2310</v>
      </c>
      <c r="H1589" s="29" t="n">
        <f aca="false">F1589*G1589</f>
        <v>2176020</v>
      </c>
    </row>
    <row r="1590" customFormat="false" ht="15" hidden="false" customHeight="false" outlineLevel="0" collapsed="false">
      <c r="A1590" s="27" t="n">
        <v>2025</v>
      </c>
      <c r="B1590" s="27" t="n">
        <v>4</v>
      </c>
      <c r="C1590" s="27" t="s">
        <v>45</v>
      </c>
      <c r="D1590" s="27" t="s">
        <v>24</v>
      </c>
      <c r="E1590" s="27" t="s">
        <v>56</v>
      </c>
      <c r="F1590" s="28" t="n">
        <v>1123</v>
      </c>
      <c r="G1590" s="29" t="n">
        <v>2360</v>
      </c>
      <c r="H1590" s="29" t="n">
        <f aca="false">F1590*G1590</f>
        <v>2650280</v>
      </c>
    </row>
    <row r="1591" customFormat="false" ht="15" hidden="false" customHeight="false" outlineLevel="0" collapsed="false">
      <c r="A1591" s="27" t="n">
        <v>2025</v>
      </c>
      <c r="B1591" s="27" t="n">
        <v>4</v>
      </c>
      <c r="C1591" s="27" t="s">
        <v>45</v>
      </c>
      <c r="D1591" s="27" t="s">
        <v>24</v>
      </c>
      <c r="E1591" s="27" t="s">
        <v>58</v>
      </c>
      <c r="F1591" s="28" t="n">
        <v>760</v>
      </c>
      <c r="G1591" s="29" t="n">
        <v>2360</v>
      </c>
      <c r="H1591" s="29" t="n">
        <f aca="false">F1591*G1591</f>
        <v>1793600</v>
      </c>
    </row>
    <row r="1592" customFormat="false" ht="15" hidden="false" customHeight="false" outlineLevel="0" collapsed="false">
      <c r="A1592" s="27" t="n">
        <v>2025</v>
      </c>
      <c r="B1592" s="27" t="n">
        <v>4</v>
      </c>
      <c r="C1592" s="27" t="s">
        <v>45</v>
      </c>
      <c r="D1592" s="27" t="s">
        <v>26</v>
      </c>
      <c r="E1592" s="27" t="s">
        <v>50</v>
      </c>
      <c r="F1592" s="28" t="n">
        <v>878</v>
      </c>
      <c r="G1592" s="29" t="n">
        <v>2790</v>
      </c>
      <c r="H1592" s="29" t="n">
        <f aca="false">F1592*G1592</f>
        <v>2449620</v>
      </c>
    </row>
    <row r="1593" customFormat="false" ht="15" hidden="false" customHeight="false" outlineLevel="0" collapsed="false">
      <c r="A1593" s="27" t="n">
        <v>2025</v>
      </c>
      <c r="B1593" s="27" t="n">
        <v>4</v>
      </c>
      <c r="C1593" s="27" t="s">
        <v>45</v>
      </c>
      <c r="D1593" s="27" t="s">
        <v>26</v>
      </c>
      <c r="E1593" s="27" t="s">
        <v>52</v>
      </c>
      <c r="F1593" s="28" t="n">
        <v>556</v>
      </c>
      <c r="G1593" s="29" t="n">
        <v>2850</v>
      </c>
      <c r="H1593" s="29" t="n">
        <f aca="false">F1593*G1593</f>
        <v>1584600</v>
      </c>
    </row>
    <row r="1594" customFormat="false" ht="15" hidden="false" customHeight="false" outlineLevel="0" collapsed="false">
      <c r="A1594" s="27" t="n">
        <v>2025</v>
      </c>
      <c r="B1594" s="27" t="n">
        <v>4</v>
      </c>
      <c r="C1594" s="27" t="s">
        <v>45</v>
      </c>
      <c r="D1594" s="27" t="s">
        <v>26</v>
      </c>
      <c r="E1594" s="27" t="s">
        <v>54</v>
      </c>
      <c r="F1594" s="28" t="n">
        <v>478</v>
      </c>
      <c r="G1594" s="29" t="n">
        <v>2800</v>
      </c>
      <c r="H1594" s="29" t="n">
        <f aca="false">F1594*G1594</f>
        <v>1338400</v>
      </c>
    </row>
    <row r="1595" customFormat="false" ht="15" hidden="false" customHeight="false" outlineLevel="0" collapsed="false">
      <c r="A1595" s="27" t="n">
        <v>2025</v>
      </c>
      <c r="B1595" s="27" t="n">
        <v>4</v>
      </c>
      <c r="C1595" s="27" t="s">
        <v>45</v>
      </c>
      <c r="D1595" s="27" t="s">
        <v>26</v>
      </c>
      <c r="E1595" s="27" t="s">
        <v>56</v>
      </c>
      <c r="F1595" s="28" t="n">
        <v>521</v>
      </c>
      <c r="G1595" s="29" t="n">
        <v>2820</v>
      </c>
      <c r="H1595" s="29" t="n">
        <f aca="false">F1595*G1595</f>
        <v>1469220</v>
      </c>
    </row>
    <row r="1596" customFormat="false" ht="15" hidden="false" customHeight="false" outlineLevel="0" collapsed="false">
      <c r="A1596" s="27" t="n">
        <v>2025</v>
      </c>
      <c r="B1596" s="27" t="n">
        <v>4</v>
      </c>
      <c r="C1596" s="27" t="s">
        <v>45</v>
      </c>
      <c r="D1596" s="27" t="s">
        <v>26</v>
      </c>
      <c r="E1596" s="27" t="s">
        <v>58</v>
      </c>
      <c r="F1596" s="28" t="n">
        <v>368</v>
      </c>
      <c r="G1596" s="29" t="n">
        <v>2800</v>
      </c>
      <c r="H1596" s="29" t="n">
        <f aca="false">F1596*G1596</f>
        <v>1030400</v>
      </c>
    </row>
    <row r="1597" customFormat="false" ht="15" hidden="false" customHeight="false" outlineLevel="0" collapsed="false">
      <c r="A1597" s="27" t="n">
        <v>2025</v>
      </c>
      <c r="B1597" s="27" t="n">
        <v>4</v>
      </c>
      <c r="C1597" s="27" t="s">
        <v>45</v>
      </c>
      <c r="D1597" s="27" t="s">
        <v>28</v>
      </c>
      <c r="E1597" s="27" t="s">
        <v>50</v>
      </c>
      <c r="F1597" s="28" t="n">
        <v>405</v>
      </c>
      <c r="G1597" s="29" t="n">
        <v>2640</v>
      </c>
      <c r="H1597" s="29" t="n">
        <f aca="false">F1597*G1597</f>
        <v>1069200</v>
      </c>
    </row>
    <row r="1598" customFormat="false" ht="15" hidden="false" customHeight="false" outlineLevel="0" collapsed="false">
      <c r="A1598" s="27" t="n">
        <v>2025</v>
      </c>
      <c r="B1598" s="27" t="n">
        <v>4</v>
      </c>
      <c r="C1598" s="27" t="s">
        <v>45</v>
      </c>
      <c r="D1598" s="27" t="s">
        <v>28</v>
      </c>
      <c r="E1598" s="27" t="s">
        <v>52</v>
      </c>
      <c r="F1598" s="28" t="n">
        <v>274</v>
      </c>
      <c r="G1598" s="29" t="n">
        <v>2630</v>
      </c>
      <c r="H1598" s="29" t="n">
        <f aca="false">F1598*G1598</f>
        <v>720620</v>
      </c>
    </row>
    <row r="1599" customFormat="false" ht="15" hidden="false" customHeight="false" outlineLevel="0" collapsed="false">
      <c r="A1599" s="27" t="n">
        <v>2025</v>
      </c>
      <c r="B1599" s="27" t="n">
        <v>4</v>
      </c>
      <c r="C1599" s="27" t="s">
        <v>45</v>
      </c>
      <c r="D1599" s="27" t="s">
        <v>28</v>
      </c>
      <c r="E1599" s="27" t="s">
        <v>54</v>
      </c>
      <c r="F1599" s="28" t="n">
        <v>217</v>
      </c>
      <c r="G1599" s="29" t="n">
        <v>2690</v>
      </c>
      <c r="H1599" s="29" t="n">
        <f aca="false">F1599*G1599</f>
        <v>583730</v>
      </c>
    </row>
    <row r="1600" customFormat="false" ht="15" hidden="false" customHeight="false" outlineLevel="0" collapsed="false">
      <c r="A1600" s="27" t="n">
        <v>2025</v>
      </c>
      <c r="B1600" s="27" t="n">
        <v>4</v>
      </c>
      <c r="C1600" s="27" t="s">
        <v>45</v>
      </c>
      <c r="D1600" s="27" t="s">
        <v>28</v>
      </c>
      <c r="E1600" s="27" t="s">
        <v>56</v>
      </c>
      <c r="F1600" s="28" t="n">
        <v>242</v>
      </c>
      <c r="G1600" s="29" t="n">
        <v>2650</v>
      </c>
      <c r="H1600" s="29" t="n">
        <f aca="false">F1600*G1600</f>
        <v>641300</v>
      </c>
    </row>
    <row r="1601" customFormat="false" ht="15" hidden="false" customHeight="false" outlineLevel="0" collapsed="false">
      <c r="A1601" s="27" t="n">
        <v>2025</v>
      </c>
      <c r="B1601" s="27" t="n">
        <v>4</v>
      </c>
      <c r="C1601" s="27" t="s">
        <v>45</v>
      </c>
      <c r="D1601" s="27" t="s">
        <v>28</v>
      </c>
      <c r="E1601" s="27" t="s">
        <v>58</v>
      </c>
      <c r="F1601" s="28" t="n">
        <v>186</v>
      </c>
      <c r="G1601" s="29" t="n">
        <v>2650</v>
      </c>
      <c r="H1601" s="29" t="n">
        <f aca="false">F1601*G1601</f>
        <v>492900</v>
      </c>
    </row>
    <row r="1602" customFormat="false" ht="15" hidden="false" customHeight="false" outlineLevel="0" collapsed="false">
      <c r="A1602" s="27" t="n">
        <v>2025</v>
      </c>
      <c r="B1602" s="27" t="n">
        <v>5</v>
      </c>
      <c r="C1602" s="27" t="s">
        <v>38</v>
      </c>
      <c r="D1602" s="27" t="s">
        <v>22</v>
      </c>
      <c r="E1602" s="27" t="s">
        <v>50</v>
      </c>
      <c r="F1602" s="28" t="n">
        <v>7996</v>
      </c>
      <c r="G1602" s="29" t="n">
        <v>2770</v>
      </c>
      <c r="H1602" s="29" t="n">
        <f aca="false">F1602*G1602</f>
        <v>22148920</v>
      </c>
    </row>
    <row r="1603" customFormat="false" ht="15" hidden="false" customHeight="false" outlineLevel="0" collapsed="false">
      <c r="A1603" s="27" t="n">
        <v>2025</v>
      </c>
      <c r="B1603" s="27" t="n">
        <v>5</v>
      </c>
      <c r="C1603" s="27" t="s">
        <v>38</v>
      </c>
      <c r="D1603" s="27" t="s">
        <v>22</v>
      </c>
      <c r="E1603" s="27" t="s">
        <v>52</v>
      </c>
      <c r="F1603" s="28" t="n">
        <v>5066</v>
      </c>
      <c r="G1603" s="29" t="n">
        <v>2770</v>
      </c>
      <c r="H1603" s="29" t="n">
        <f aca="false">F1603*G1603</f>
        <v>14032820</v>
      </c>
    </row>
    <row r="1604" customFormat="false" ht="15" hidden="false" customHeight="false" outlineLevel="0" collapsed="false">
      <c r="A1604" s="27" t="n">
        <v>2025</v>
      </c>
      <c r="B1604" s="27" t="n">
        <v>5</v>
      </c>
      <c r="C1604" s="27" t="s">
        <v>38</v>
      </c>
      <c r="D1604" s="27" t="s">
        <v>22</v>
      </c>
      <c r="E1604" s="27" t="s">
        <v>54</v>
      </c>
      <c r="F1604" s="28" t="n">
        <v>4204</v>
      </c>
      <c r="G1604" s="29" t="n">
        <v>2730</v>
      </c>
      <c r="H1604" s="29" t="n">
        <f aca="false">F1604*G1604</f>
        <v>11476920</v>
      </c>
    </row>
    <row r="1605" customFormat="false" ht="15" hidden="false" customHeight="false" outlineLevel="0" collapsed="false">
      <c r="A1605" s="27" t="n">
        <v>2025</v>
      </c>
      <c r="B1605" s="27" t="n">
        <v>5</v>
      </c>
      <c r="C1605" s="27" t="s">
        <v>38</v>
      </c>
      <c r="D1605" s="27" t="s">
        <v>22</v>
      </c>
      <c r="E1605" s="27" t="s">
        <v>56</v>
      </c>
      <c r="F1605" s="28" t="n">
        <v>5005</v>
      </c>
      <c r="G1605" s="29" t="n">
        <v>2750</v>
      </c>
      <c r="H1605" s="29" t="n">
        <f aca="false">F1605*G1605</f>
        <v>13763750</v>
      </c>
    </row>
    <row r="1606" customFormat="false" ht="15" hidden="false" customHeight="false" outlineLevel="0" collapsed="false">
      <c r="A1606" s="27" t="n">
        <v>2025</v>
      </c>
      <c r="B1606" s="27" t="n">
        <v>5</v>
      </c>
      <c r="C1606" s="27" t="s">
        <v>38</v>
      </c>
      <c r="D1606" s="27" t="s">
        <v>22</v>
      </c>
      <c r="E1606" s="27" t="s">
        <v>58</v>
      </c>
      <c r="F1606" s="28" t="n">
        <v>3515</v>
      </c>
      <c r="G1606" s="29" t="n">
        <v>2730</v>
      </c>
      <c r="H1606" s="29" t="n">
        <f aca="false">F1606*G1606</f>
        <v>9595950</v>
      </c>
    </row>
    <row r="1607" customFormat="false" ht="15" hidden="false" customHeight="false" outlineLevel="0" collapsed="false">
      <c r="A1607" s="27" t="n">
        <v>2025</v>
      </c>
      <c r="B1607" s="27" t="n">
        <v>5</v>
      </c>
      <c r="C1607" s="27" t="s">
        <v>38</v>
      </c>
      <c r="D1607" s="27" t="s">
        <v>24</v>
      </c>
      <c r="E1607" s="27" t="s">
        <v>50</v>
      </c>
      <c r="F1607" s="28" t="n">
        <v>4776</v>
      </c>
      <c r="G1607" s="29" t="n">
        <v>2550</v>
      </c>
      <c r="H1607" s="29" t="n">
        <f aca="false">F1607*G1607</f>
        <v>12178800</v>
      </c>
    </row>
    <row r="1608" customFormat="false" ht="15" hidden="false" customHeight="false" outlineLevel="0" collapsed="false">
      <c r="A1608" s="27" t="n">
        <v>2025</v>
      </c>
      <c r="B1608" s="27" t="n">
        <v>5</v>
      </c>
      <c r="C1608" s="27" t="s">
        <v>38</v>
      </c>
      <c r="D1608" s="27" t="s">
        <v>24</v>
      </c>
      <c r="E1608" s="27" t="s">
        <v>52</v>
      </c>
      <c r="F1608" s="28" t="n">
        <v>3084</v>
      </c>
      <c r="G1608" s="29" t="n">
        <v>2520</v>
      </c>
      <c r="H1608" s="29" t="n">
        <f aca="false">F1608*G1608</f>
        <v>7771680</v>
      </c>
    </row>
    <row r="1609" customFormat="false" ht="15" hidden="false" customHeight="false" outlineLevel="0" collapsed="false">
      <c r="A1609" s="27" t="n">
        <v>2025</v>
      </c>
      <c r="B1609" s="27" t="n">
        <v>5</v>
      </c>
      <c r="C1609" s="27" t="s">
        <v>38</v>
      </c>
      <c r="D1609" s="27" t="s">
        <v>24</v>
      </c>
      <c r="E1609" s="27" t="s">
        <v>54</v>
      </c>
      <c r="F1609" s="28" t="n">
        <v>2504</v>
      </c>
      <c r="G1609" s="29" t="n">
        <v>2560</v>
      </c>
      <c r="H1609" s="29" t="n">
        <f aca="false">F1609*G1609</f>
        <v>6410240</v>
      </c>
    </row>
    <row r="1610" customFormat="false" ht="15" hidden="false" customHeight="false" outlineLevel="0" collapsed="false">
      <c r="A1610" s="27" t="n">
        <v>2025</v>
      </c>
      <c r="B1610" s="27" t="n">
        <v>5</v>
      </c>
      <c r="C1610" s="27" t="s">
        <v>38</v>
      </c>
      <c r="D1610" s="27" t="s">
        <v>24</v>
      </c>
      <c r="E1610" s="27" t="s">
        <v>56</v>
      </c>
      <c r="F1610" s="28" t="n">
        <v>2643</v>
      </c>
      <c r="G1610" s="29" t="n">
        <v>2580</v>
      </c>
      <c r="H1610" s="29" t="n">
        <f aca="false">F1610*G1610</f>
        <v>6818940</v>
      </c>
    </row>
    <row r="1611" customFormat="false" ht="15" hidden="false" customHeight="false" outlineLevel="0" collapsed="false">
      <c r="A1611" s="27" t="n">
        <v>2025</v>
      </c>
      <c r="B1611" s="27" t="n">
        <v>5</v>
      </c>
      <c r="C1611" s="27" t="s">
        <v>38</v>
      </c>
      <c r="D1611" s="27" t="s">
        <v>24</v>
      </c>
      <c r="E1611" s="27" t="s">
        <v>58</v>
      </c>
      <c r="F1611" s="28" t="n">
        <v>2152</v>
      </c>
      <c r="G1611" s="29" t="n">
        <v>2580</v>
      </c>
      <c r="H1611" s="29" t="n">
        <f aca="false">F1611*G1611</f>
        <v>5552160</v>
      </c>
    </row>
    <row r="1612" customFormat="false" ht="15" hidden="false" customHeight="false" outlineLevel="0" collapsed="false">
      <c r="A1612" s="27" t="n">
        <v>2025</v>
      </c>
      <c r="B1612" s="27" t="n">
        <v>5</v>
      </c>
      <c r="C1612" s="27" t="s">
        <v>38</v>
      </c>
      <c r="D1612" s="27" t="s">
        <v>26</v>
      </c>
      <c r="E1612" s="27" t="s">
        <v>50</v>
      </c>
      <c r="F1612" s="28" t="n">
        <v>2600</v>
      </c>
      <c r="G1612" s="29" t="n">
        <v>3070</v>
      </c>
      <c r="H1612" s="29" t="n">
        <f aca="false">F1612*G1612</f>
        <v>7982000</v>
      </c>
    </row>
    <row r="1613" customFormat="false" ht="15" hidden="false" customHeight="false" outlineLevel="0" collapsed="false">
      <c r="A1613" s="27" t="n">
        <v>2025</v>
      </c>
      <c r="B1613" s="27" t="n">
        <v>5</v>
      </c>
      <c r="C1613" s="27" t="s">
        <v>38</v>
      </c>
      <c r="D1613" s="27" t="s">
        <v>26</v>
      </c>
      <c r="E1613" s="27" t="s">
        <v>52</v>
      </c>
      <c r="F1613" s="28" t="n">
        <v>1391</v>
      </c>
      <c r="G1613" s="29" t="n">
        <v>3020</v>
      </c>
      <c r="H1613" s="29" t="n">
        <f aca="false">F1613*G1613</f>
        <v>4200820</v>
      </c>
    </row>
    <row r="1614" customFormat="false" ht="15" hidden="false" customHeight="false" outlineLevel="0" collapsed="false">
      <c r="A1614" s="27" t="n">
        <v>2025</v>
      </c>
      <c r="B1614" s="27" t="n">
        <v>5</v>
      </c>
      <c r="C1614" s="27" t="s">
        <v>38</v>
      </c>
      <c r="D1614" s="27" t="s">
        <v>26</v>
      </c>
      <c r="E1614" s="27" t="s">
        <v>54</v>
      </c>
      <c r="F1614" s="28" t="n">
        <v>1229</v>
      </c>
      <c r="G1614" s="29" t="n">
        <v>3050</v>
      </c>
      <c r="H1614" s="29" t="n">
        <f aca="false">F1614*G1614</f>
        <v>3748450</v>
      </c>
    </row>
    <row r="1615" customFormat="false" ht="15" hidden="false" customHeight="false" outlineLevel="0" collapsed="false">
      <c r="A1615" s="27" t="n">
        <v>2025</v>
      </c>
      <c r="B1615" s="27" t="n">
        <v>5</v>
      </c>
      <c r="C1615" s="27" t="s">
        <v>38</v>
      </c>
      <c r="D1615" s="27" t="s">
        <v>26</v>
      </c>
      <c r="E1615" s="27" t="s">
        <v>56</v>
      </c>
      <c r="F1615" s="28" t="n">
        <v>1375</v>
      </c>
      <c r="G1615" s="29" t="n">
        <v>3070</v>
      </c>
      <c r="H1615" s="29" t="n">
        <f aca="false">F1615*G1615</f>
        <v>4221250</v>
      </c>
    </row>
    <row r="1616" customFormat="false" ht="15" hidden="false" customHeight="false" outlineLevel="0" collapsed="false">
      <c r="A1616" s="27" t="n">
        <v>2025</v>
      </c>
      <c r="B1616" s="27" t="n">
        <v>5</v>
      </c>
      <c r="C1616" s="27" t="s">
        <v>38</v>
      </c>
      <c r="D1616" s="27" t="s">
        <v>26</v>
      </c>
      <c r="E1616" s="27" t="s">
        <v>58</v>
      </c>
      <c r="F1616" s="28" t="n">
        <v>1016</v>
      </c>
      <c r="G1616" s="29" t="n">
        <v>3030</v>
      </c>
      <c r="H1616" s="29" t="n">
        <f aca="false">F1616*G1616</f>
        <v>3078480</v>
      </c>
    </row>
    <row r="1617" customFormat="false" ht="15" hidden="false" customHeight="false" outlineLevel="0" collapsed="false">
      <c r="A1617" s="27" t="n">
        <v>2025</v>
      </c>
      <c r="B1617" s="27" t="n">
        <v>5</v>
      </c>
      <c r="C1617" s="27" t="s">
        <v>38</v>
      </c>
      <c r="D1617" s="27" t="s">
        <v>28</v>
      </c>
      <c r="E1617" s="27" t="s">
        <v>50</v>
      </c>
      <c r="F1617" s="28" t="n">
        <v>1120</v>
      </c>
      <c r="G1617" s="29" t="n">
        <v>2920</v>
      </c>
      <c r="H1617" s="29" t="n">
        <f aca="false">F1617*G1617</f>
        <v>3270400</v>
      </c>
    </row>
    <row r="1618" customFormat="false" ht="15" hidden="false" customHeight="false" outlineLevel="0" collapsed="false">
      <c r="A1618" s="27" t="n">
        <v>2025</v>
      </c>
      <c r="B1618" s="27" t="n">
        <v>5</v>
      </c>
      <c r="C1618" s="27" t="s">
        <v>38</v>
      </c>
      <c r="D1618" s="27" t="s">
        <v>28</v>
      </c>
      <c r="E1618" s="27" t="s">
        <v>52</v>
      </c>
      <c r="F1618" s="28" t="n">
        <v>678</v>
      </c>
      <c r="G1618" s="29" t="n">
        <v>2910</v>
      </c>
      <c r="H1618" s="29" t="n">
        <f aca="false">F1618*G1618</f>
        <v>1972980</v>
      </c>
    </row>
    <row r="1619" customFormat="false" ht="15" hidden="false" customHeight="false" outlineLevel="0" collapsed="false">
      <c r="A1619" s="27" t="n">
        <v>2025</v>
      </c>
      <c r="B1619" s="27" t="n">
        <v>5</v>
      </c>
      <c r="C1619" s="27" t="s">
        <v>38</v>
      </c>
      <c r="D1619" s="27" t="s">
        <v>28</v>
      </c>
      <c r="E1619" s="27" t="s">
        <v>54</v>
      </c>
      <c r="F1619" s="28" t="n">
        <v>559</v>
      </c>
      <c r="G1619" s="29" t="n">
        <v>2900</v>
      </c>
      <c r="H1619" s="29" t="n">
        <f aca="false">F1619*G1619</f>
        <v>1621100</v>
      </c>
    </row>
    <row r="1620" customFormat="false" ht="15" hidden="false" customHeight="false" outlineLevel="0" collapsed="false">
      <c r="A1620" s="27" t="n">
        <v>2025</v>
      </c>
      <c r="B1620" s="27" t="n">
        <v>5</v>
      </c>
      <c r="C1620" s="27" t="s">
        <v>38</v>
      </c>
      <c r="D1620" s="27" t="s">
        <v>28</v>
      </c>
      <c r="E1620" s="27" t="s">
        <v>56</v>
      </c>
      <c r="F1620" s="28" t="n">
        <v>718</v>
      </c>
      <c r="G1620" s="29" t="n">
        <v>2900</v>
      </c>
      <c r="H1620" s="29" t="n">
        <f aca="false">F1620*G1620</f>
        <v>2082200</v>
      </c>
    </row>
    <row r="1621" customFormat="false" ht="15" hidden="false" customHeight="false" outlineLevel="0" collapsed="false">
      <c r="A1621" s="27" t="n">
        <v>2025</v>
      </c>
      <c r="B1621" s="27" t="n">
        <v>5</v>
      </c>
      <c r="C1621" s="27" t="s">
        <v>38</v>
      </c>
      <c r="D1621" s="27" t="s">
        <v>28</v>
      </c>
      <c r="E1621" s="27" t="s">
        <v>58</v>
      </c>
      <c r="F1621" s="28" t="n">
        <v>487</v>
      </c>
      <c r="G1621" s="29" t="n">
        <v>2850</v>
      </c>
      <c r="H1621" s="29" t="n">
        <f aca="false">F1621*G1621</f>
        <v>1387950</v>
      </c>
    </row>
    <row r="1622" customFormat="false" ht="15" hidden="false" customHeight="false" outlineLevel="0" collapsed="false">
      <c r="A1622" s="27" t="n">
        <v>2025</v>
      </c>
      <c r="B1622" s="27" t="n">
        <v>5</v>
      </c>
      <c r="C1622" s="27" t="s">
        <v>40</v>
      </c>
      <c r="D1622" s="27" t="s">
        <v>22</v>
      </c>
      <c r="E1622" s="27" t="s">
        <v>50</v>
      </c>
      <c r="F1622" s="28" t="n">
        <v>4437</v>
      </c>
      <c r="G1622" s="29" t="n">
        <v>2410</v>
      </c>
      <c r="H1622" s="29" t="n">
        <f aca="false">F1622*G1622</f>
        <v>10693170</v>
      </c>
    </row>
    <row r="1623" customFormat="false" ht="15" hidden="false" customHeight="false" outlineLevel="0" collapsed="false">
      <c r="A1623" s="27" t="n">
        <v>2025</v>
      </c>
      <c r="B1623" s="27" t="n">
        <v>5</v>
      </c>
      <c r="C1623" s="27" t="s">
        <v>40</v>
      </c>
      <c r="D1623" s="27" t="s">
        <v>22</v>
      </c>
      <c r="E1623" s="27" t="s">
        <v>52</v>
      </c>
      <c r="F1623" s="28" t="n">
        <v>2661</v>
      </c>
      <c r="G1623" s="29" t="n">
        <v>2430</v>
      </c>
      <c r="H1623" s="29" t="n">
        <f aca="false">F1623*G1623</f>
        <v>6466230</v>
      </c>
    </row>
    <row r="1624" customFormat="false" ht="15" hidden="false" customHeight="false" outlineLevel="0" collapsed="false">
      <c r="A1624" s="27" t="n">
        <v>2025</v>
      </c>
      <c r="B1624" s="27" t="n">
        <v>5</v>
      </c>
      <c r="C1624" s="27" t="s">
        <v>40</v>
      </c>
      <c r="D1624" s="27" t="s">
        <v>22</v>
      </c>
      <c r="E1624" s="27" t="s">
        <v>54</v>
      </c>
      <c r="F1624" s="28" t="n">
        <v>2153</v>
      </c>
      <c r="G1624" s="29" t="n">
        <v>2430</v>
      </c>
      <c r="H1624" s="29" t="n">
        <f aca="false">F1624*G1624</f>
        <v>5231790</v>
      </c>
    </row>
    <row r="1625" customFormat="false" ht="15" hidden="false" customHeight="false" outlineLevel="0" collapsed="false">
      <c r="A1625" s="27" t="n">
        <v>2025</v>
      </c>
      <c r="B1625" s="27" t="n">
        <v>5</v>
      </c>
      <c r="C1625" s="27" t="s">
        <v>40</v>
      </c>
      <c r="D1625" s="27" t="s">
        <v>22</v>
      </c>
      <c r="E1625" s="27" t="s">
        <v>56</v>
      </c>
      <c r="F1625" s="28" t="n">
        <v>2390</v>
      </c>
      <c r="G1625" s="29" t="n">
        <v>2390</v>
      </c>
      <c r="H1625" s="29" t="n">
        <f aca="false">F1625*G1625</f>
        <v>5712100</v>
      </c>
    </row>
    <row r="1626" customFormat="false" ht="15" hidden="false" customHeight="false" outlineLevel="0" collapsed="false">
      <c r="A1626" s="27" t="n">
        <v>2025</v>
      </c>
      <c r="B1626" s="27" t="n">
        <v>5</v>
      </c>
      <c r="C1626" s="27" t="s">
        <v>40</v>
      </c>
      <c r="D1626" s="27" t="s">
        <v>22</v>
      </c>
      <c r="E1626" s="27" t="s">
        <v>58</v>
      </c>
      <c r="F1626" s="28" t="n">
        <v>1782</v>
      </c>
      <c r="G1626" s="29" t="n">
        <v>2430</v>
      </c>
      <c r="H1626" s="29" t="n">
        <f aca="false">F1626*G1626</f>
        <v>4330260</v>
      </c>
    </row>
    <row r="1627" customFormat="false" ht="15" hidden="false" customHeight="false" outlineLevel="0" collapsed="false">
      <c r="A1627" s="27" t="n">
        <v>2025</v>
      </c>
      <c r="B1627" s="27" t="n">
        <v>5</v>
      </c>
      <c r="C1627" s="27" t="s">
        <v>40</v>
      </c>
      <c r="D1627" s="27" t="s">
        <v>24</v>
      </c>
      <c r="E1627" s="27" t="s">
        <v>50</v>
      </c>
      <c r="F1627" s="28" t="n">
        <v>2573</v>
      </c>
      <c r="G1627" s="29" t="n">
        <v>2260</v>
      </c>
      <c r="H1627" s="29" t="n">
        <f aca="false">F1627*G1627</f>
        <v>5814980</v>
      </c>
    </row>
    <row r="1628" customFormat="false" ht="15" hidden="false" customHeight="false" outlineLevel="0" collapsed="false">
      <c r="A1628" s="27" t="n">
        <v>2025</v>
      </c>
      <c r="B1628" s="27" t="n">
        <v>5</v>
      </c>
      <c r="C1628" s="27" t="s">
        <v>40</v>
      </c>
      <c r="D1628" s="27" t="s">
        <v>24</v>
      </c>
      <c r="E1628" s="27" t="s">
        <v>52</v>
      </c>
      <c r="F1628" s="28" t="n">
        <v>1414</v>
      </c>
      <c r="G1628" s="29" t="n">
        <v>2280</v>
      </c>
      <c r="H1628" s="29" t="n">
        <f aca="false">F1628*G1628</f>
        <v>3223920</v>
      </c>
    </row>
    <row r="1629" customFormat="false" ht="15" hidden="false" customHeight="false" outlineLevel="0" collapsed="false">
      <c r="A1629" s="27" t="n">
        <v>2025</v>
      </c>
      <c r="B1629" s="27" t="n">
        <v>5</v>
      </c>
      <c r="C1629" s="27" t="s">
        <v>40</v>
      </c>
      <c r="D1629" s="27" t="s">
        <v>24</v>
      </c>
      <c r="E1629" s="27" t="s">
        <v>54</v>
      </c>
      <c r="F1629" s="28" t="n">
        <v>1194</v>
      </c>
      <c r="G1629" s="29" t="n">
        <v>2260</v>
      </c>
      <c r="H1629" s="29" t="n">
        <f aca="false">F1629*G1629</f>
        <v>2698440</v>
      </c>
    </row>
    <row r="1630" customFormat="false" ht="15" hidden="false" customHeight="false" outlineLevel="0" collapsed="false">
      <c r="A1630" s="27" t="n">
        <v>2025</v>
      </c>
      <c r="B1630" s="27" t="n">
        <v>5</v>
      </c>
      <c r="C1630" s="27" t="s">
        <v>40</v>
      </c>
      <c r="D1630" s="27" t="s">
        <v>24</v>
      </c>
      <c r="E1630" s="27" t="s">
        <v>56</v>
      </c>
      <c r="F1630" s="28" t="n">
        <v>1398</v>
      </c>
      <c r="G1630" s="29" t="n">
        <v>2290</v>
      </c>
      <c r="H1630" s="29" t="n">
        <f aca="false">F1630*G1630</f>
        <v>3201420</v>
      </c>
    </row>
    <row r="1631" customFormat="false" ht="15" hidden="false" customHeight="false" outlineLevel="0" collapsed="false">
      <c r="A1631" s="27" t="n">
        <v>2025</v>
      </c>
      <c r="B1631" s="27" t="n">
        <v>5</v>
      </c>
      <c r="C1631" s="27" t="s">
        <v>40</v>
      </c>
      <c r="D1631" s="27" t="s">
        <v>24</v>
      </c>
      <c r="E1631" s="27" t="s">
        <v>58</v>
      </c>
      <c r="F1631" s="28" t="n">
        <v>945</v>
      </c>
      <c r="G1631" s="29" t="n">
        <v>2250</v>
      </c>
      <c r="H1631" s="29" t="n">
        <f aca="false">F1631*G1631</f>
        <v>2126250</v>
      </c>
    </row>
    <row r="1632" customFormat="false" ht="15" hidden="false" customHeight="false" outlineLevel="0" collapsed="false">
      <c r="A1632" s="27" t="n">
        <v>2025</v>
      </c>
      <c r="B1632" s="27" t="n">
        <v>5</v>
      </c>
      <c r="C1632" s="27" t="s">
        <v>40</v>
      </c>
      <c r="D1632" s="27" t="s">
        <v>26</v>
      </c>
      <c r="E1632" s="27" t="s">
        <v>50</v>
      </c>
      <c r="F1632" s="28" t="n">
        <v>1246</v>
      </c>
      <c r="G1632" s="29" t="n">
        <v>2690</v>
      </c>
      <c r="H1632" s="29" t="n">
        <f aca="false">F1632*G1632</f>
        <v>3351740</v>
      </c>
    </row>
    <row r="1633" customFormat="false" ht="15" hidden="false" customHeight="false" outlineLevel="0" collapsed="false">
      <c r="A1633" s="27" t="n">
        <v>2025</v>
      </c>
      <c r="B1633" s="27" t="n">
        <v>5</v>
      </c>
      <c r="C1633" s="27" t="s">
        <v>40</v>
      </c>
      <c r="D1633" s="27" t="s">
        <v>26</v>
      </c>
      <c r="E1633" s="27" t="s">
        <v>52</v>
      </c>
      <c r="F1633" s="28" t="n">
        <v>787</v>
      </c>
      <c r="G1633" s="29" t="n">
        <v>2760</v>
      </c>
      <c r="H1633" s="29" t="n">
        <f aca="false">F1633*G1633</f>
        <v>2172120</v>
      </c>
    </row>
    <row r="1634" customFormat="false" ht="15" hidden="false" customHeight="false" outlineLevel="0" collapsed="false">
      <c r="A1634" s="27" t="n">
        <v>2025</v>
      </c>
      <c r="B1634" s="27" t="n">
        <v>5</v>
      </c>
      <c r="C1634" s="27" t="s">
        <v>40</v>
      </c>
      <c r="D1634" s="27" t="s">
        <v>26</v>
      </c>
      <c r="E1634" s="27" t="s">
        <v>54</v>
      </c>
      <c r="F1634" s="28" t="n">
        <v>604</v>
      </c>
      <c r="G1634" s="29" t="n">
        <v>2730</v>
      </c>
      <c r="H1634" s="29" t="n">
        <f aca="false">F1634*G1634</f>
        <v>1648920</v>
      </c>
    </row>
    <row r="1635" customFormat="false" ht="15" hidden="false" customHeight="false" outlineLevel="0" collapsed="false">
      <c r="A1635" s="27" t="n">
        <v>2025</v>
      </c>
      <c r="B1635" s="27" t="n">
        <v>5</v>
      </c>
      <c r="C1635" s="27" t="s">
        <v>40</v>
      </c>
      <c r="D1635" s="27" t="s">
        <v>26</v>
      </c>
      <c r="E1635" s="27" t="s">
        <v>56</v>
      </c>
      <c r="F1635" s="28" t="n">
        <v>635</v>
      </c>
      <c r="G1635" s="29" t="n">
        <v>2720</v>
      </c>
      <c r="H1635" s="29" t="n">
        <f aca="false">F1635*G1635</f>
        <v>1727200</v>
      </c>
    </row>
    <row r="1636" customFormat="false" ht="15" hidden="false" customHeight="false" outlineLevel="0" collapsed="false">
      <c r="A1636" s="27" t="n">
        <v>2025</v>
      </c>
      <c r="B1636" s="27" t="n">
        <v>5</v>
      </c>
      <c r="C1636" s="27" t="s">
        <v>40</v>
      </c>
      <c r="D1636" s="27" t="s">
        <v>26</v>
      </c>
      <c r="E1636" s="27" t="s">
        <v>58</v>
      </c>
      <c r="F1636" s="28" t="n">
        <v>496</v>
      </c>
      <c r="G1636" s="29" t="n">
        <v>2700</v>
      </c>
      <c r="H1636" s="29" t="n">
        <f aca="false">F1636*G1636</f>
        <v>1339200</v>
      </c>
    </row>
    <row r="1637" customFormat="false" ht="15" hidden="false" customHeight="false" outlineLevel="0" collapsed="false">
      <c r="A1637" s="27" t="n">
        <v>2025</v>
      </c>
      <c r="B1637" s="27" t="n">
        <v>5</v>
      </c>
      <c r="C1637" s="27" t="s">
        <v>40</v>
      </c>
      <c r="D1637" s="27" t="s">
        <v>28</v>
      </c>
      <c r="E1637" s="27" t="s">
        <v>50</v>
      </c>
      <c r="F1637" s="28" t="n">
        <v>617</v>
      </c>
      <c r="G1637" s="29" t="n">
        <v>2540</v>
      </c>
      <c r="H1637" s="29" t="n">
        <f aca="false">F1637*G1637</f>
        <v>1567180</v>
      </c>
    </row>
    <row r="1638" customFormat="false" ht="15" hidden="false" customHeight="false" outlineLevel="0" collapsed="false">
      <c r="A1638" s="27" t="n">
        <v>2025</v>
      </c>
      <c r="B1638" s="27" t="n">
        <v>5</v>
      </c>
      <c r="C1638" s="27" t="s">
        <v>40</v>
      </c>
      <c r="D1638" s="27" t="s">
        <v>28</v>
      </c>
      <c r="E1638" s="27" t="s">
        <v>52</v>
      </c>
      <c r="F1638" s="28" t="n">
        <v>362</v>
      </c>
      <c r="G1638" s="29" t="n">
        <v>2540</v>
      </c>
      <c r="H1638" s="29" t="n">
        <f aca="false">F1638*G1638</f>
        <v>919480</v>
      </c>
    </row>
    <row r="1639" customFormat="false" ht="15" hidden="false" customHeight="false" outlineLevel="0" collapsed="false">
      <c r="A1639" s="27" t="n">
        <v>2025</v>
      </c>
      <c r="B1639" s="27" t="n">
        <v>5</v>
      </c>
      <c r="C1639" s="27" t="s">
        <v>40</v>
      </c>
      <c r="D1639" s="27" t="s">
        <v>28</v>
      </c>
      <c r="E1639" s="27" t="s">
        <v>54</v>
      </c>
      <c r="F1639" s="28" t="n">
        <v>264</v>
      </c>
      <c r="G1639" s="29" t="n">
        <v>2520</v>
      </c>
      <c r="H1639" s="29" t="n">
        <f aca="false">F1639*G1639</f>
        <v>665280</v>
      </c>
    </row>
    <row r="1640" customFormat="false" ht="15" hidden="false" customHeight="false" outlineLevel="0" collapsed="false">
      <c r="A1640" s="27" t="n">
        <v>2025</v>
      </c>
      <c r="B1640" s="27" t="n">
        <v>5</v>
      </c>
      <c r="C1640" s="27" t="s">
        <v>40</v>
      </c>
      <c r="D1640" s="27" t="s">
        <v>28</v>
      </c>
      <c r="E1640" s="27" t="s">
        <v>56</v>
      </c>
      <c r="F1640" s="28" t="n">
        <v>364</v>
      </c>
      <c r="G1640" s="29" t="n">
        <v>2490</v>
      </c>
      <c r="H1640" s="29" t="n">
        <f aca="false">F1640*G1640</f>
        <v>906360</v>
      </c>
    </row>
    <row r="1641" customFormat="false" ht="15" hidden="false" customHeight="false" outlineLevel="0" collapsed="false">
      <c r="A1641" s="27" t="n">
        <v>2025</v>
      </c>
      <c r="B1641" s="27" t="n">
        <v>5</v>
      </c>
      <c r="C1641" s="27" t="s">
        <v>40</v>
      </c>
      <c r="D1641" s="27" t="s">
        <v>28</v>
      </c>
      <c r="E1641" s="27" t="s">
        <v>58</v>
      </c>
      <c r="F1641" s="28" t="n">
        <v>229</v>
      </c>
      <c r="G1641" s="29" t="n">
        <v>2540</v>
      </c>
      <c r="H1641" s="29" t="n">
        <f aca="false">F1641*G1641</f>
        <v>581660</v>
      </c>
    </row>
    <row r="1642" customFormat="false" ht="15" hidden="false" customHeight="false" outlineLevel="0" collapsed="false">
      <c r="A1642" s="27" t="n">
        <v>2025</v>
      </c>
      <c r="B1642" s="27" t="n">
        <v>5</v>
      </c>
      <c r="C1642" s="27" t="s">
        <v>42</v>
      </c>
      <c r="D1642" s="27" t="s">
        <v>22</v>
      </c>
      <c r="E1642" s="27" t="s">
        <v>50</v>
      </c>
      <c r="F1642" s="28" t="n">
        <v>5067</v>
      </c>
      <c r="G1642" s="29" t="n">
        <v>2230</v>
      </c>
      <c r="H1642" s="29" t="n">
        <f aca="false">F1642*G1642</f>
        <v>11299410</v>
      </c>
    </row>
    <row r="1643" customFormat="false" ht="15" hidden="false" customHeight="false" outlineLevel="0" collapsed="false">
      <c r="A1643" s="27" t="n">
        <v>2025</v>
      </c>
      <c r="B1643" s="27" t="n">
        <v>5</v>
      </c>
      <c r="C1643" s="27" t="s">
        <v>42</v>
      </c>
      <c r="D1643" s="27" t="s">
        <v>22</v>
      </c>
      <c r="E1643" s="27" t="s">
        <v>52</v>
      </c>
      <c r="F1643" s="28" t="n">
        <v>2832</v>
      </c>
      <c r="G1643" s="29" t="n">
        <v>2240</v>
      </c>
      <c r="H1643" s="29" t="n">
        <f aca="false">F1643*G1643</f>
        <v>6343680</v>
      </c>
    </row>
    <row r="1644" customFormat="false" ht="15" hidden="false" customHeight="false" outlineLevel="0" collapsed="false">
      <c r="A1644" s="27" t="n">
        <v>2025</v>
      </c>
      <c r="B1644" s="27" t="n">
        <v>5</v>
      </c>
      <c r="C1644" s="27" t="s">
        <v>42</v>
      </c>
      <c r="D1644" s="27" t="s">
        <v>22</v>
      </c>
      <c r="E1644" s="27" t="s">
        <v>54</v>
      </c>
      <c r="F1644" s="28" t="n">
        <v>2244</v>
      </c>
      <c r="G1644" s="29" t="n">
        <v>2240</v>
      </c>
      <c r="H1644" s="29" t="n">
        <f aca="false">F1644*G1644</f>
        <v>5026560</v>
      </c>
    </row>
    <row r="1645" customFormat="false" ht="15" hidden="false" customHeight="false" outlineLevel="0" collapsed="false">
      <c r="A1645" s="27" t="n">
        <v>2025</v>
      </c>
      <c r="B1645" s="27" t="n">
        <v>5</v>
      </c>
      <c r="C1645" s="27" t="s">
        <v>42</v>
      </c>
      <c r="D1645" s="27" t="s">
        <v>22</v>
      </c>
      <c r="E1645" s="27" t="s">
        <v>56</v>
      </c>
      <c r="F1645" s="28" t="n">
        <v>2579</v>
      </c>
      <c r="G1645" s="29" t="n">
        <v>2240</v>
      </c>
      <c r="H1645" s="29" t="n">
        <f aca="false">F1645*G1645</f>
        <v>5776960</v>
      </c>
    </row>
    <row r="1646" customFormat="false" ht="15" hidden="false" customHeight="false" outlineLevel="0" collapsed="false">
      <c r="A1646" s="27" t="n">
        <v>2025</v>
      </c>
      <c r="B1646" s="27" t="n">
        <v>5</v>
      </c>
      <c r="C1646" s="27" t="s">
        <v>42</v>
      </c>
      <c r="D1646" s="27" t="s">
        <v>22</v>
      </c>
      <c r="E1646" s="27" t="s">
        <v>58</v>
      </c>
      <c r="F1646" s="28" t="n">
        <v>1855</v>
      </c>
      <c r="G1646" s="29" t="n">
        <v>2190</v>
      </c>
      <c r="H1646" s="29" t="n">
        <f aca="false">F1646*G1646</f>
        <v>4062450</v>
      </c>
    </row>
    <row r="1647" customFormat="false" ht="15" hidden="false" customHeight="false" outlineLevel="0" collapsed="false">
      <c r="A1647" s="27" t="n">
        <v>2025</v>
      </c>
      <c r="B1647" s="27" t="n">
        <v>5</v>
      </c>
      <c r="C1647" s="27" t="s">
        <v>42</v>
      </c>
      <c r="D1647" s="27" t="s">
        <v>24</v>
      </c>
      <c r="E1647" s="27" t="s">
        <v>50</v>
      </c>
      <c r="F1647" s="28" t="n">
        <v>2669</v>
      </c>
      <c r="G1647" s="29" t="n">
        <v>2070</v>
      </c>
      <c r="H1647" s="29" t="n">
        <f aca="false">F1647*G1647</f>
        <v>5524830</v>
      </c>
    </row>
    <row r="1648" customFormat="false" ht="15" hidden="false" customHeight="false" outlineLevel="0" collapsed="false">
      <c r="A1648" s="27" t="n">
        <v>2025</v>
      </c>
      <c r="B1648" s="27" t="n">
        <v>5</v>
      </c>
      <c r="C1648" s="27" t="s">
        <v>42</v>
      </c>
      <c r="D1648" s="27" t="s">
        <v>24</v>
      </c>
      <c r="E1648" s="27" t="s">
        <v>52</v>
      </c>
      <c r="F1648" s="28" t="n">
        <v>1645</v>
      </c>
      <c r="G1648" s="29" t="n">
        <v>2070</v>
      </c>
      <c r="H1648" s="29" t="n">
        <f aca="false">F1648*G1648</f>
        <v>3405150</v>
      </c>
    </row>
    <row r="1649" customFormat="false" ht="15" hidden="false" customHeight="false" outlineLevel="0" collapsed="false">
      <c r="A1649" s="27" t="n">
        <v>2025</v>
      </c>
      <c r="B1649" s="27" t="n">
        <v>5</v>
      </c>
      <c r="C1649" s="27" t="s">
        <v>42</v>
      </c>
      <c r="D1649" s="27" t="s">
        <v>24</v>
      </c>
      <c r="E1649" s="27" t="s">
        <v>54</v>
      </c>
      <c r="F1649" s="28" t="n">
        <v>1310</v>
      </c>
      <c r="G1649" s="29" t="n">
        <v>2070</v>
      </c>
      <c r="H1649" s="29" t="n">
        <f aca="false">F1649*G1649</f>
        <v>2711700</v>
      </c>
    </row>
    <row r="1650" customFormat="false" ht="15" hidden="false" customHeight="false" outlineLevel="0" collapsed="false">
      <c r="A1650" s="27" t="n">
        <v>2025</v>
      </c>
      <c r="B1650" s="27" t="n">
        <v>5</v>
      </c>
      <c r="C1650" s="27" t="s">
        <v>42</v>
      </c>
      <c r="D1650" s="27" t="s">
        <v>24</v>
      </c>
      <c r="E1650" s="27" t="s">
        <v>56</v>
      </c>
      <c r="F1650" s="28" t="n">
        <v>1638</v>
      </c>
      <c r="G1650" s="29" t="n">
        <v>2060</v>
      </c>
      <c r="H1650" s="29" t="n">
        <f aca="false">F1650*G1650</f>
        <v>3374280</v>
      </c>
    </row>
    <row r="1651" customFormat="false" ht="15" hidden="false" customHeight="false" outlineLevel="0" collapsed="false">
      <c r="A1651" s="27" t="n">
        <v>2025</v>
      </c>
      <c r="B1651" s="27" t="n">
        <v>5</v>
      </c>
      <c r="C1651" s="27" t="s">
        <v>42</v>
      </c>
      <c r="D1651" s="27" t="s">
        <v>24</v>
      </c>
      <c r="E1651" s="27" t="s">
        <v>58</v>
      </c>
      <c r="F1651" s="28" t="n">
        <v>1072</v>
      </c>
      <c r="G1651" s="29" t="n">
        <v>2060</v>
      </c>
      <c r="H1651" s="29" t="n">
        <f aca="false">F1651*G1651</f>
        <v>2208320</v>
      </c>
    </row>
    <row r="1652" customFormat="false" ht="15" hidden="false" customHeight="false" outlineLevel="0" collapsed="false">
      <c r="A1652" s="27" t="n">
        <v>2025</v>
      </c>
      <c r="B1652" s="27" t="n">
        <v>5</v>
      </c>
      <c r="C1652" s="27" t="s">
        <v>42</v>
      </c>
      <c r="D1652" s="27" t="s">
        <v>26</v>
      </c>
      <c r="E1652" s="27" t="s">
        <v>50</v>
      </c>
      <c r="F1652" s="28" t="n">
        <v>1412</v>
      </c>
      <c r="G1652" s="29" t="n">
        <v>2530</v>
      </c>
      <c r="H1652" s="29" t="n">
        <f aca="false">F1652*G1652</f>
        <v>3572360</v>
      </c>
    </row>
    <row r="1653" customFormat="false" ht="15" hidden="false" customHeight="false" outlineLevel="0" collapsed="false">
      <c r="A1653" s="27" t="n">
        <v>2025</v>
      </c>
      <c r="B1653" s="27" t="n">
        <v>5</v>
      </c>
      <c r="C1653" s="27" t="s">
        <v>42</v>
      </c>
      <c r="D1653" s="27" t="s">
        <v>26</v>
      </c>
      <c r="E1653" s="27" t="s">
        <v>52</v>
      </c>
      <c r="F1653" s="28" t="n">
        <v>899</v>
      </c>
      <c r="G1653" s="29" t="n">
        <v>2510</v>
      </c>
      <c r="H1653" s="29" t="n">
        <f aca="false">F1653*G1653</f>
        <v>2256490</v>
      </c>
    </row>
    <row r="1654" customFormat="false" ht="15" hidden="false" customHeight="false" outlineLevel="0" collapsed="false">
      <c r="A1654" s="27" t="n">
        <v>2025</v>
      </c>
      <c r="B1654" s="27" t="n">
        <v>5</v>
      </c>
      <c r="C1654" s="27" t="s">
        <v>42</v>
      </c>
      <c r="D1654" s="27" t="s">
        <v>26</v>
      </c>
      <c r="E1654" s="27" t="s">
        <v>54</v>
      </c>
      <c r="F1654" s="28" t="n">
        <v>793</v>
      </c>
      <c r="G1654" s="29" t="n">
        <v>2490</v>
      </c>
      <c r="H1654" s="29" t="n">
        <f aca="false">F1654*G1654</f>
        <v>1974570</v>
      </c>
    </row>
    <row r="1655" customFormat="false" ht="15" hidden="false" customHeight="false" outlineLevel="0" collapsed="false">
      <c r="A1655" s="27" t="n">
        <v>2025</v>
      </c>
      <c r="B1655" s="27" t="n">
        <v>5</v>
      </c>
      <c r="C1655" s="27" t="s">
        <v>42</v>
      </c>
      <c r="D1655" s="27" t="s">
        <v>26</v>
      </c>
      <c r="E1655" s="27" t="s">
        <v>56</v>
      </c>
      <c r="F1655" s="28" t="n">
        <v>836</v>
      </c>
      <c r="G1655" s="29" t="n">
        <v>2500</v>
      </c>
      <c r="H1655" s="29" t="n">
        <f aca="false">F1655*G1655</f>
        <v>2090000</v>
      </c>
    </row>
    <row r="1656" customFormat="false" ht="15" hidden="false" customHeight="false" outlineLevel="0" collapsed="false">
      <c r="A1656" s="27" t="n">
        <v>2025</v>
      </c>
      <c r="B1656" s="27" t="n">
        <v>5</v>
      </c>
      <c r="C1656" s="27" t="s">
        <v>42</v>
      </c>
      <c r="D1656" s="27" t="s">
        <v>26</v>
      </c>
      <c r="E1656" s="27" t="s">
        <v>58</v>
      </c>
      <c r="F1656" s="28" t="n">
        <v>530</v>
      </c>
      <c r="G1656" s="29" t="n">
        <v>2470</v>
      </c>
      <c r="H1656" s="29" t="n">
        <f aca="false">F1656*G1656</f>
        <v>1309100</v>
      </c>
    </row>
    <row r="1657" customFormat="false" ht="15" hidden="false" customHeight="false" outlineLevel="0" collapsed="false">
      <c r="A1657" s="27" t="n">
        <v>2025</v>
      </c>
      <c r="B1657" s="27" t="n">
        <v>5</v>
      </c>
      <c r="C1657" s="27" t="s">
        <v>42</v>
      </c>
      <c r="D1657" s="27" t="s">
        <v>28</v>
      </c>
      <c r="E1657" s="27" t="s">
        <v>50</v>
      </c>
      <c r="F1657" s="28" t="n">
        <v>632</v>
      </c>
      <c r="G1657" s="29" t="n">
        <v>2340</v>
      </c>
      <c r="H1657" s="29" t="n">
        <f aca="false">F1657*G1657</f>
        <v>1478880</v>
      </c>
    </row>
    <row r="1658" customFormat="false" ht="15" hidden="false" customHeight="false" outlineLevel="0" collapsed="false">
      <c r="A1658" s="27" t="n">
        <v>2025</v>
      </c>
      <c r="B1658" s="27" t="n">
        <v>5</v>
      </c>
      <c r="C1658" s="27" t="s">
        <v>42</v>
      </c>
      <c r="D1658" s="27" t="s">
        <v>28</v>
      </c>
      <c r="E1658" s="27" t="s">
        <v>52</v>
      </c>
      <c r="F1658" s="28" t="n">
        <v>402</v>
      </c>
      <c r="G1658" s="29" t="n">
        <v>2330</v>
      </c>
      <c r="H1658" s="29" t="n">
        <f aca="false">F1658*G1658</f>
        <v>936660</v>
      </c>
    </row>
    <row r="1659" customFormat="false" ht="15" hidden="false" customHeight="false" outlineLevel="0" collapsed="false">
      <c r="A1659" s="27" t="n">
        <v>2025</v>
      </c>
      <c r="B1659" s="27" t="n">
        <v>5</v>
      </c>
      <c r="C1659" s="27" t="s">
        <v>42</v>
      </c>
      <c r="D1659" s="27" t="s">
        <v>28</v>
      </c>
      <c r="E1659" s="27" t="s">
        <v>54</v>
      </c>
      <c r="F1659" s="28" t="n">
        <v>342</v>
      </c>
      <c r="G1659" s="29" t="n">
        <v>2350</v>
      </c>
      <c r="H1659" s="29" t="n">
        <f aca="false">F1659*G1659</f>
        <v>803700</v>
      </c>
    </row>
    <row r="1660" customFormat="false" ht="15" hidden="false" customHeight="false" outlineLevel="0" collapsed="false">
      <c r="A1660" s="27" t="n">
        <v>2025</v>
      </c>
      <c r="B1660" s="27" t="n">
        <v>5</v>
      </c>
      <c r="C1660" s="27" t="s">
        <v>42</v>
      </c>
      <c r="D1660" s="27" t="s">
        <v>28</v>
      </c>
      <c r="E1660" s="27" t="s">
        <v>56</v>
      </c>
      <c r="F1660" s="28" t="n">
        <v>382</v>
      </c>
      <c r="G1660" s="29" t="n">
        <v>2310</v>
      </c>
      <c r="H1660" s="29" t="n">
        <f aca="false">F1660*G1660</f>
        <v>882420</v>
      </c>
    </row>
    <row r="1661" customFormat="false" ht="15" hidden="false" customHeight="false" outlineLevel="0" collapsed="false">
      <c r="A1661" s="27" t="n">
        <v>2025</v>
      </c>
      <c r="B1661" s="27" t="n">
        <v>5</v>
      </c>
      <c r="C1661" s="27" t="s">
        <v>42</v>
      </c>
      <c r="D1661" s="27" t="s">
        <v>28</v>
      </c>
      <c r="E1661" s="27" t="s">
        <v>58</v>
      </c>
      <c r="F1661" s="28" t="n">
        <v>278</v>
      </c>
      <c r="G1661" s="29" t="n">
        <v>2340</v>
      </c>
      <c r="H1661" s="29" t="n">
        <f aca="false">F1661*G1661</f>
        <v>650520</v>
      </c>
    </row>
    <row r="1662" customFormat="false" ht="15" hidden="false" customHeight="false" outlineLevel="0" collapsed="false">
      <c r="A1662" s="27" t="n">
        <v>2025</v>
      </c>
      <c r="B1662" s="27" t="n">
        <v>5</v>
      </c>
      <c r="C1662" s="27" t="s">
        <v>44</v>
      </c>
      <c r="D1662" s="27" t="s">
        <v>22</v>
      </c>
      <c r="E1662" s="27" t="s">
        <v>50</v>
      </c>
      <c r="F1662" s="28" t="n">
        <v>2895</v>
      </c>
      <c r="G1662" s="29" t="n">
        <v>4100</v>
      </c>
      <c r="H1662" s="29" t="n">
        <f aca="false">F1662*G1662</f>
        <v>11869500</v>
      </c>
    </row>
    <row r="1663" customFormat="false" ht="15" hidden="false" customHeight="false" outlineLevel="0" collapsed="false">
      <c r="A1663" s="27" t="n">
        <v>2025</v>
      </c>
      <c r="B1663" s="27" t="n">
        <v>5</v>
      </c>
      <c r="C1663" s="27" t="s">
        <v>44</v>
      </c>
      <c r="D1663" s="27" t="s">
        <v>22</v>
      </c>
      <c r="E1663" s="27" t="s">
        <v>52</v>
      </c>
      <c r="F1663" s="28" t="n">
        <v>1983</v>
      </c>
      <c r="G1663" s="29" t="n">
        <v>4150</v>
      </c>
      <c r="H1663" s="29" t="n">
        <f aca="false">F1663*G1663</f>
        <v>8229450</v>
      </c>
    </row>
    <row r="1664" customFormat="false" ht="15" hidden="false" customHeight="false" outlineLevel="0" collapsed="false">
      <c r="A1664" s="27" t="n">
        <v>2025</v>
      </c>
      <c r="B1664" s="27" t="n">
        <v>5</v>
      </c>
      <c r="C1664" s="27" t="s">
        <v>44</v>
      </c>
      <c r="D1664" s="27" t="s">
        <v>22</v>
      </c>
      <c r="E1664" s="27" t="s">
        <v>54</v>
      </c>
      <c r="F1664" s="28" t="n">
        <v>1645</v>
      </c>
      <c r="G1664" s="29" t="n">
        <v>4130</v>
      </c>
      <c r="H1664" s="29" t="n">
        <f aca="false">F1664*G1664</f>
        <v>6793850</v>
      </c>
    </row>
    <row r="1665" customFormat="false" ht="15" hidden="false" customHeight="false" outlineLevel="0" collapsed="false">
      <c r="A1665" s="27" t="n">
        <v>2025</v>
      </c>
      <c r="B1665" s="27" t="n">
        <v>5</v>
      </c>
      <c r="C1665" s="27" t="s">
        <v>44</v>
      </c>
      <c r="D1665" s="27" t="s">
        <v>22</v>
      </c>
      <c r="E1665" s="27" t="s">
        <v>56</v>
      </c>
      <c r="F1665" s="28" t="n">
        <v>1923</v>
      </c>
      <c r="G1665" s="29" t="n">
        <v>4120</v>
      </c>
      <c r="H1665" s="29" t="n">
        <f aca="false">F1665*G1665</f>
        <v>7922760</v>
      </c>
    </row>
    <row r="1666" customFormat="false" ht="15" hidden="false" customHeight="false" outlineLevel="0" collapsed="false">
      <c r="A1666" s="27" t="n">
        <v>2025</v>
      </c>
      <c r="B1666" s="27" t="n">
        <v>5</v>
      </c>
      <c r="C1666" s="27" t="s">
        <v>44</v>
      </c>
      <c r="D1666" s="27" t="s">
        <v>22</v>
      </c>
      <c r="E1666" s="27" t="s">
        <v>58</v>
      </c>
      <c r="F1666" s="28" t="n">
        <v>1236</v>
      </c>
      <c r="G1666" s="29" t="n">
        <v>4100</v>
      </c>
      <c r="H1666" s="29" t="n">
        <f aca="false">F1666*G1666</f>
        <v>5067600</v>
      </c>
    </row>
    <row r="1667" customFormat="false" ht="15" hidden="false" customHeight="false" outlineLevel="0" collapsed="false">
      <c r="A1667" s="27" t="n">
        <v>2025</v>
      </c>
      <c r="B1667" s="27" t="n">
        <v>5</v>
      </c>
      <c r="C1667" s="27" t="s">
        <v>44</v>
      </c>
      <c r="D1667" s="27" t="s">
        <v>24</v>
      </c>
      <c r="E1667" s="27" t="s">
        <v>50</v>
      </c>
      <c r="F1667" s="28" t="n">
        <v>1824</v>
      </c>
      <c r="G1667" s="29" t="n">
        <v>3830</v>
      </c>
      <c r="H1667" s="29" t="n">
        <f aca="false">F1667*G1667</f>
        <v>6985920</v>
      </c>
    </row>
    <row r="1668" customFormat="false" ht="15" hidden="false" customHeight="false" outlineLevel="0" collapsed="false">
      <c r="A1668" s="27" t="n">
        <v>2025</v>
      </c>
      <c r="B1668" s="27" t="n">
        <v>5</v>
      </c>
      <c r="C1668" s="27" t="s">
        <v>44</v>
      </c>
      <c r="D1668" s="27" t="s">
        <v>24</v>
      </c>
      <c r="E1668" s="27" t="s">
        <v>52</v>
      </c>
      <c r="F1668" s="28" t="n">
        <v>1032</v>
      </c>
      <c r="G1668" s="29" t="n">
        <v>3810</v>
      </c>
      <c r="H1668" s="29" t="n">
        <f aca="false">F1668*G1668</f>
        <v>3931920</v>
      </c>
    </row>
    <row r="1669" customFormat="false" ht="15" hidden="false" customHeight="false" outlineLevel="0" collapsed="false">
      <c r="A1669" s="27" t="n">
        <v>2025</v>
      </c>
      <c r="B1669" s="27" t="n">
        <v>5</v>
      </c>
      <c r="C1669" s="27" t="s">
        <v>44</v>
      </c>
      <c r="D1669" s="27" t="s">
        <v>24</v>
      </c>
      <c r="E1669" s="27" t="s">
        <v>54</v>
      </c>
      <c r="F1669" s="28" t="n">
        <v>914</v>
      </c>
      <c r="G1669" s="29" t="n">
        <v>3820</v>
      </c>
      <c r="H1669" s="29" t="n">
        <f aca="false">F1669*G1669</f>
        <v>3491480</v>
      </c>
    </row>
    <row r="1670" customFormat="false" ht="15" hidden="false" customHeight="false" outlineLevel="0" collapsed="false">
      <c r="A1670" s="27" t="n">
        <v>2025</v>
      </c>
      <c r="B1670" s="27" t="n">
        <v>5</v>
      </c>
      <c r="C1670" s="27" t="s">
        <v>44</v>
      </c>
      <c r="D1670" s="27" t="s">
        <v>24</v>
      </c>
      <c r="E1670" s="27" t="s">
        <v>56</v>
      </c>
      <c r="F1670" s="28" t="n">
        <v>1069</v>
      </c>
      <c r="G1670" s="29" t="n">
        <v>3850</v>
      </c>
      <c r="H1670" s="29" t="n">
        <f aca="false">F1670*G1670</f>
        <v>4115650</v>
      </c>
    </row>
    <row r="1671" customFormat="false" ht="15" hidden="false" customHeight="false" outlineLevel="0" collapsed="false">
      <c r="A1671" s="27" t="n">
        <v>2025</v>
      </c>
      <c r="B1671" s="27" t="n">
        <v>5</v>
      </c>
      <c r="C1671" s="27" t="s">
        <v>44</v>
      </c>
      <c r="D1671" s="27" t="s">
        <v>24</v>
      </c>
      <c r="E1671" s="27" t="s">
        <v>58</v>
      </c>
      <c r="F1671" s="28" t="n">
        <v>700</v>
      </c>
      <c r="G1671" s="29" t="n">
        <v>3760</v>
      </c>
      <c r="H1671" s="29" t="n">
        <f aca="false">F1671*G1671</f>
        <v>2632000</v>
      </c>
    </row>
    <row r="1672" customFormat="false" ht="15" hidden="false" customHeight="false" outlineLevel="0" collapsed="false">
      <c r="A1672" s="27" t="n">
        <v>2025</v>
      </c>
      <c r="B1672" s="27" t="n">
        <v>5</v>
      </c>
      <c r="C1672" s="27" t="s">
        <v>44</v>
      </c>
      <c r="D1672" s="27" t="s">
        <v>26</v>
      </c>
      <c r="E1672" s="27" t="s">
        <v>50</v>
      </c>
      <c r="F1672" s="28" t="n">
        <v>912</v>
      </c>
      <c r="G1672" s="29" t="n">
        <v>4640</v>
      </c>
      <c r="H1672" s="29" t="n">
        <f aca="false">F1672*G1672</f>
        <v>4231680</v>
      </c>
    </row>
    <row r="1673" customFormat="false" ht="15" hidden="false" customHeight="false" outlineLevel="0" collapsed="false">
      <c r="A1673" s="27" t="n">
        <v>2025</v>
      </c>
      <c r="B1673" s="27" t="n">
        <v>5</v>
      </c>
      <c r="C1673" s="27" t="s">
        <v>44</v>
      </c>
      <c r="D1673" s="27" t="s">
        <v>26</v>
      </c>
      <c r="E1673" s="27" t="s">
        <v>52</v>
      </c>
      <c r="F1673" s="28" t="n">
        <v>629</v>
      </c>
      <c r="G1673" s="29" t="n">
        <v>4640</v>
      </c>
      <c r="H1673" s="29" t="n">
        <f aca="false">F1673*G1673</f>
        <v>2918560</v>
      </c>
    </row>
    <row r="1674" customFormat="false" ht="15" hidden="false" customHeight="false" outlineLevel="0" collapsed="false">
      <c r="A1674" s="27" t="n">
        <v>2025</v>
      </c>
      <c r="B1674" s="27" t="n">
        <v>5</v>
      </c>
      <c r="C1674" s="27" t="s">
        <v>44</v>
      </c>
      <c r="D1674" s="27" t="s">
        <v>26</v>
      </c>
      <c r="E1674" s="27" t="s">
        <v>54</v>
      </c>
      <c r="F1674" s="28" t="n">
        <v>430</v>
      </c>
      <c r="G1674" s="29" t="n">
        <v>4600</v>
      </c>
      <c r="H1674" s="29" t="n">
        <f aca="false">F1674*G1674</f>
        <v>1978000</v>
      </c>
    </row>
    <row r="1675" customFormat="false" ht="15" hidden="false" customHeight="false" outlineLevel="0" collapsed="false">
      <c r="A1675" s="27" t="n">
        <v>2025</v>
      </c>
      <c r="B1675" s="27" t="n">
        <v>5</v>
      </c>
      <c r="C1675" s="27" t="s">
        <v>44</v>
      </c>
      <c r="D1675" s="27" t="s">
        <v>26</v>
      </c>
      <c r="E1675" s="27" t="s">
        <v>56</v>
      </c>
      <c r="F1675" s="28" t="n">
        <v>558</v>
      </c>
      <c r="G1675" s="29" t="n">
        <v>4620</v>
      </c>
      <c r="H1675" s="29" t="n">
        <f aca="false">F1675*G1675</f>
        <v>2577960</v>
      </c>
    </row>
    <row r="1676" customFormat="false" ht="15" hidden="false" customHeight="false" outlineLevel="0" collapsed="false">
      <c r="A1676" s="27" t="n">
        <v>2025</v>
      </c>
      <c r="B1676" s="27" t="n">
        <v>5</v>
      </c>
      <c r="C1676" s="27" t="s">
        <v>44</v>
      </c>
      <c r="D1676" s="27" t="s">
        <v>26</v>
      </c>
      <c r="E1676" s="27" t="s">
        <v>58</v>
      </c>
      <c r="F1676" s="28" t="n">
        <v>387</v>
      </c>
      <c r="G1676" s="29" t="n">
        <v>4570</v>
      </c>
      <c r="H1676" s="29" t="n">
        <f aca="false">F1676*G1676</f>
        <v>1768590</v>
      </c>
    </row>
    <row r="1677" customFormat="false" ht="15" hidden="false" customHeight="false" outlineLevel="0" collapsed="false">
      <c r="A1677" s="27" t="n">
        <v>2025</v>
      </c>
      <c r="B1677" s="27" t="n">
        <v>5</v>
      </c>
      <c r="C1677" s="27" t="s">
        <v>44</v>
      </c>
      <c r="D1677" s="27" t="s">
        <v>28</v>
      </c>
      <c r="E1677" s="27" t="s">
        <v>50</v>
      </c>
      <c r="F1677" s="28" t="n">
        <v>439</v>
      </c>
      <c r="G1677" s="29" t="n">
        <v>4340</v>
      </c>
      <c r="H1677" s="29" t="n">
        <f aca="false">F1677*G1677</f>
        <v>1905260</v>
      </c>
    </row>
    <row r="1678" customFormat="false" ht="15" hidden="false" customHeight="false" outlineLevel="0" collapsed="false">
      <c r="A1678" s="27" t="n">
        <v>2025</v>
      </c>
      <c r="B1678" s="27" t="n">
        <v>5</v>
      </c>
      <c r="C1678" s="27" t="s">
        <v>44</v>
      </c>
      <c r="D1678" s="27" t="s">
        <v>28</v>
      </c>
      <c r="E1678" s="27" t="s">
        <v>52</v>
      </c>
      <c r="F1678" s="28" t="n">
        <v>285</v>
      </c>
      <c r="G1678" s="29" t="n">
        <v>4290</v>
      </c>
      <c r="H1678" s="29" t="n">
        <f aca="false">F1678*G1678</f>
        <v>1222650</v>
      </c>
    </row>
    <row r="1679" customFormat="false" ht="15" hidden="false" customHeight="false" outlineLevel="0" collapsed="false">
      <c r="A1679" s="27" t="n">
        <v>2025</v>
      </c>
      <c r="B1679" s="27" t="n">
        <v>5</v>
      </c>
      <c r="C1679" s="27" t="s">
        <v>44</v>
      </c>
      <c r="D1679" s="27" t="s">
        <v>28</v>
      </c>
      <c r="E1679" s="27" t="s">
        <v>54</v>
      </c>
      <c r="F1679" s="28" t="n">
        <v>215</v>
      </c>
      <c r="G1679" s="29" t="n">
        <v>4200</v>
      </c>
      <c r="H1679" s="29" t="n">
        <f aca="false">F1679*G1679</f>
        <v>903000</v>
      </c>
    </row>
    <row r="1680" customFormat="false" ht="15" hidden="false" customHeight="false" outlineLevel="0" collapsed="false">
      <c r="A1680" s="27" t="n">
        <v>2025</v>
      </c>
      <c r="B1680" s="27" t="n">
        <v>5</v>
      </c>
      <c r="C1680" s="27" t="s">
        <v>44</v>
      </c>
      <c r="D1680" s="27" t="s">
        <v>28</v>
      </c>
      <c r="E1680" s="27" t="s">
        <v>56</v>
      </c>
      <c r="F1680" s="28" t="n">
        <v>252</v>
      </c>
      <c r="G1680" s="29" t="n">
        <v>4300</v>
      </c>
      <c r="H1680" s="29" t="n">
        <f aca="false">F1680*G1680</f>
        <v>1083600</v>
      </c>
    </row>
    <row r="1681" customFormat="false" ht="15" hidden="false" customHeight="false" outlineLevel="0" collapsed="false">
      <c r="A1681" s="27" t="n">
        <v>2025</v>
      </c>
      <c r="B1681" s="27" t="n">
        <v>5</v>
      </c>
      <c r="C1681" s="27" t="s">
        <v>44</v>
      </c>
      <c r="D1681" s="27" t="s">
        <v>28</v>
      </c>
      <c r="E1681" s="27" t="s">
        <v>58</v>
      </c>
      <c r="F1681" s="28" t="n">
        <v>169</v>
      </c>
      <c r="G1681" s="29" t="n">
        <v>4330</v>
      </c>
      <c r="H1681" s="29" t="n">
        <f aca="false">F1681*G1681</f>
        <v>731770</v>
      </c>
    </row>
    <row r="1682" customFormat="false" ht="15" hidden="false" customHeight="false" outlineLevel="0" collapsed="false">
      <c r="A1682" s="27" t="n">
        <v>2025</v>
      </c>
      <c r="B1682" s="27" t="n">
        <v>5</v>
      </c>
      <c r="C1682" s="27" t="s">
        <v>45</v>
      </c>
      <c r="D1682" s="27" t="s">
        <v>22</v>
      </c>
      <c r="E1682" s="27" t="s">
        <v>50</v>
      </c>
      <c r="F1682" s="28" t="n">
        <v>3219</v>
      </c>
      <c r="G1682" s="29" t="n">
        <v>2470</v>
      </c>
      <c r="H1682" s="29" t="n">
        <f aca="false">F1682*G1682</f>
        <v>7950930</v>
      </c>
    </row>
    <row r="1683" customFormat="false" ht="15" hidden="false" customHeight="false" outlineLevel="0" collapsed="false">
      <c r="A1683" s="27" t="n">
        <v>2025</v>
      </c>
      <c r="B1683" s="27" t="n">
        <v>5</v>
      </c>
      <c r="C1683" s="27" t="s">
        <v>45</v>
      </c>
      <c r="D1683" s="27" t="s">
        <v>22</v>
      </c>
      <c r="E1683" s="27" t="s">
        <v>52</v>
      </c>
      <c r="F1683" s="28" t="n">
        <v>2039</v>
      </c>
      <c r="G1683" s="29" t="n">
        <v>2510</v>
      </c>
      <c r="H1683" s="29" t="n">
        <f aca="false">F1683*G1683</f>
        <v>5117890</v>
      </c>
    </row>
    <row r="1684" customFormat="false" ht="15" hidden="false" customHeight="false" outlineLevel="0" collapsed="false">
      <c r="A1684" s="27" t="n">
        <v>2025</v>
      </c>
      <c r="B1684" s="27" t="n">
        <v>5</v>
      </c>
      <c r="C1684" s="27" t="s">
        <v>45</v>
      </c>
      <c r="D1684" s="27" t="s">
        <v>22</v>
      </c>
      <c r="E1684" s="27" t="s">
        <v>54</v>
      </c>
      <c r="F1684" s="28" t="n">
        <v>1653</v>
      </c>
      <c r="G1684" s="29" t="n">
        <v>2500</v>
      </c>
      <c r="H1684" s="29" t="n">
        <f aca="false">F1684*G1684</f>
        <v>4132500</v>
      </c>
    </row>
    <row r="1685" customFormat="false" ht="15" hidden="false" customHeight="false" outlineLevel="0" collapsed="false">
      <c r="A1685" s="27" t="n">
        <v>2025</v>
      </c>
      <c r="B1685" s="27" t="n">
        <v>5</v>
      </c>
      <c r="C1685" s="27" t="s">
        <v>45</v>
      </c>
      <c r="D1685" s="27" t="s">
        <v>22</v>
      </c>
      <c r="E1685" s="27" t="s">
        <v>56</v>
      </c>
      <c r="F1685" s="28" t="n">
        <v>1920</v>
      </c>
      <c r="G1685" s="29" t="n">
        <v>2520</v>
      </c>
      <c r="H1685" s="29" t="n">
        <f aca="false">F1685*G1685</f>
        <v>4838400</v>
      </c>
    </row>
    <row r="1686" customFormat="false" ht="15" hidden="false" customHeight="false" outlineLevel="0" collapsed="false">
      <c r="A1686" s="27" t="n">
        <v>2025</v>
      </c>
      <c r="B1686" s="27" t="n">
        <v>5</v>
      </c>
      <c r="C1686" s="27" t="s">
        <v>45</v>
      </c>
      <c r="D1686" s="27" t="s">
        <v>22</v>
      </c>
      <c r="E1686" s="27" t="s">
        <v>58</v>
      </c>
      <c r="F1686" s="28" t="n">
        <v>1331</v>
      </c>
      <c r="G1686" s="29" t="n">
        <v>2540</v>
      </c>
      <c r="H1686" s="29" t="n">
        <f aca="false">F1686*G1686</f>
        <v>3380740</v>
      </c>
    </row>
    <row r="1687" customFormat="false" ht="15" hidden="false" customHeight="false" outlineLevel="0" collapsed="false">
      <c r="A1687" s="27" t="n">
        <v>2025</v>
      </c>
      <c r="B1687" s="27" t="n">
        <v>5</v>
      </c>
      <c r="C1687" s="27" t="s">
        <v>45</v>
      </c>
      <c r="D1687" s="27" t="s">
        <v>24</v>
      </c>
      <c r="E1687" s="27" t="s">
        <v>50</v>
      </c>
      <c r="F1687" s="28" t="n">
        <v>1845</v>
      </c>
      <c r="G1687" s="29" t="n">
        <v>2320</v>
      </c>
      <c r="H1687" s="29" t="n">
        <f aca="false">F1687*G1687</f>
        <v>4280400</v>
      </c>
    </row>
    <row r="1688" customFormat="false" ht="15" hidden="false" customHeight="false" outlineLevel="0" collapsed="false">
      <c r="A1688" s="27" t="n">
        <v>2025</v>
      </c>
      <c r="B1688" s="27" t="n">
        <v>5</v>
      </c>
      <c r="C1688" s="27" t="s">
        <v>45</v>
      </c>
      <c r="D1688" s="27" t="s">
        <v>24</v>
      </c>
      <c r="E1688" s="27" t="s">
        <v>52</v>
      </c>
      <c r="F1688" s="28" t="n">
        <v>1082</v>
      </c>
      <c r="G1688" s="29" t="n">
        <v>2340</v>
      </c>
      <c r="H1688" s="29" t="n">
        <f aca="false">F1688*G1688</f>
        <v>2531880</v>
      </c>
    </row>
    <row r="1689" customFormat="false" ht="15" hidden="false" customHeight="false" outlineLevel="0" collapsed="false">
      <c r="A1689" s="27" t="n">
        <v>2025</v>
      </c>
      <c r="B1689" s="27" t="n">
        <v>5</v>
      </c>
      <c r="C1689" s="27" t="s">
        <v>45</v>
      </c>
      <c r="D1689" s="27" t="s">
        <v>24</v>
      </c>
      <c r="E1689" s="27" t="s">
        <v>54</v>
      </c>
      <c r="F1689" s="28" t="n">
        <v>934</v>
      </c>
      <c r="G1689" s="29" t="n">
        <v>2340</v>
      </c>
      <c r="H1689" s="29" t="n">
        <f aca="false">F1689*G1689</f>
        <v>2185560</v>
      </c>
    </row>
    <row r="1690" customFormat="false" ht="15" hidden="false" customHeight="false" outlineLevel="0" collapsed="false">
      <c r="A1690" s="27" t="n">
        <v>2025</v>
      </c>
      <c r="B1690" s="27" t="n">
        <v>5</v>
      </c>
      <c r="C1690" s="27" t="s">
        <v>45</v>
      </c>
      <c r="D1690" s="27" t="s">
        <v>24</v>
      </c>
      <c r="E1690" s="27" t="s">
        <v>56</v>
      </c>
      <c r="F1690" s="28" t="n">
        <v>1144</v>
      </c>
      <c r="G1690" s="29" t="n">
        <v>2350</v>
      </c>
      <c r="H1690" s="29" t="n">
        <f aca="false">F1690*G1690</f>
        <v>2688400</v>
      </c>
    </row>
    <row r="1691" customFormat="false" ht="15" hidden="false" customHeight="false" outlineLevel="0" collapsed="false">
      <c r="A1691" s="27" t="n">
        <v>2025</v>
      </c>
      <c r="B1691" s="27" t="n">
        <v>5</v>
      </c>
      <c r="C1691" s="27" t="s">
        <v>45</v>
      </c>
      <c r="D1691" s="27" t="s">
        <v>24</v>
      </c>
      <c r="E1691" s="27" t="s">
        <v>58</v>
      </c>
      <c r="F1691" s="28" t="n">
        <v>723</v>
      </c>
      <c r="G1691" s="29" t="n">
        <v>2350</v>
      </c>
      <c r="H1691" s="29" t="n">
        <f aca="false">F1691*G1691</f>
        <v>1699050</v>
      </c>
    </row>
    <row r="1692" customFormat="false" ht="15" hidden="false" customHeight="false" outlineLevel="0" collapsed="false">
      <c r="A1692" s="27" t="n">
        <v>2025</v>
      </c>
      <c r="B1692" s="27" t="n">
        <v>5</v>
      </c>
      <c r="C1692" s="27" t="s">
        <v>45</v>
      </c>
      <c r="D1692" s="27" t="s">
        <v>26</v>
      </c>
      <c r="E1692" s="27" t="s">
        <v>50</v>
      </c>
      <c r="F1692" s="28" t="n">
        <v>963</v>
      </c>
      <c r="G1692" s="29" t="n">
        <v>2850</v>
      </c>
      <c r="H1692" s="29" t="n">
        <f aca="false">F1692*G1692</f>
        <v>2744550</v>
      </c>
    </row>
    <row r="1693" customFormat="false" ht="15" hidden="false" customHeight="false" outlineLevel="0" collapsed="false">
      <c r="A1693" s="27" t="n">
        <v>2025</v>
      </c>
      <c r="B1693" s="27" t="n">
        <v>5</v>
      </c>
      <c r="C1693" s="27" t="s">
        <v>45</v>
      </c>
      <c r="D1693" s="27" t="s">
        <v>26</v>
      </c>
      <c r="E1693" s="27" t="s">
        <v>52</v>
      </c>
      <c r="F1693" s="28" t="n">
        <v>651</v>
      </c>
      <c r="G1693" s="29" t="n">
        <v>2820</v>
      </c>
      <c r="H1693" s="29" t="n">
        <f aca="false">F1693*G1693</f>
        <v>1835820</v>
      </c>
    </row>
    <row r="1694" customFormat="false" ht="15" hidden="false" customHeight="false" outlineLevel="0" collapsed="false">
      <c r="A1694" s="27" t="n">
        <v>2025</v>
      </c>
      <c r="B1694" s="27" t="n">
        <v>5</v>
      </c>
      <c r="C1694" s="27" t="s">
        <v>45</v>
      </c>
      <c r="D1694" s="27" t="s">
        <v>26</v>
      </c>
      <c r="E1694" s="27" t="s">
        <v>54</v>
      </c>
      <c r="F1694" s="28" t="n">
        <v>474</v>
      </c>
      <c r="G1694" s="29" t="n">
        <v>2850</v>
      </c>
      <c r="H1694" s="29" t="n">
        <f aca="false">F1694*G1694</f>
        <v>1350900</v>
      </c>
    </row>
    <row r="1695" customFormat="false" ht="15" hidden="false" customHeight="false" outlineLevel="0" collapsed="false">
      <c r="A1695" s="27" t="n">
        <v>2025</v>
      </c>
      <c r="B1695" s="27" t="n">
        <v>5</v>
      </c>
      <c r="C1695" s="27" t="s">
        <v>45</v>
      </c>
      <c r="D1695" s="27" t="s">
        <v>26</v>
      </c>
      <c r="E1695" s="27" t="s">
        <v>56</v>
      </c>
      <c r="F1695" s="28" t="n">
        <v>564</v>
      </c>
      <c r="G1695" s="29" t="n">
        <v>2820</v>
      </c>
      <c r="H1695" s="29" t="n">
        <f aca="false">F1695*G1695</f>
        <v>1590480</v>
      </c>
    </row>
    <row r="1696" customFormat="false" ht="15" hidden="false" customHeight="false" outlineLevel="0" collapsed="false">
      <c r="A1696" s="27" t="n">
        <v>2025</v>
      </c>
      <c r="B1696" s="27" t="n">
        <v>5</v>
      </c>
      <c r="C1696" s="27" t="s">
        <v>45</v>
      </c>
      <c r="D1696" s="27" t="s">
        <v>26</v>
      </c>
      <c r="E1696" s="27" t="s">
        <v>58</v>
      </c>
      <c r="F1696" s="28" t="n">
        <v>357</v>
      </c>
      <c r="G1696" s="29" t="n">
        <v>2820</v>
      </c>
      <c r="H1696" s="29" t="n">
        <f aca="false">F1696*G1696</f>
        <v>1006740</v>
      </c>
    </row>
    <row r="1697" customFormat="false" ht="15" hidden="false" customHeight="false" outlineLevel="0" collapsed="false">
      <c r="A1697" s="27" t="n">
        <v>2025</v>
      </c>
      <c r="B1697" s="27" t="n">
        <v>5</v>
      </c>
      <c r="C1697" s="27" t="s">
        <v>45</v>
      </c>
      <c r="D1697" s="27" t="s">
        <v>28</v>
      </c>
      <c r="E1697" s="27" t="s">
        <v>50</v>
      </c>
      <c r="F1697" s="28" t="n">
        <v>425</v>
      </c>
      <c r="G1697" s="29" t="n">
        <v>2610</v>
      </c>
      <c r="H1697" s="29" t="n">
        <f aca="false">F1697*G1697</f>
        <v>1109250</v>
      </c>
    </row>
    <row r="1698" customFormat="false" ht="15" hidden="false" customHeight="false" outlineLevel="0" collapsed="false">
      <c r="A1698" s="27" t="n">
        <v>2025</v>
      </c>
      <c r="B1698" s="27" t="n">
        <v>5</v>
      </c>
      <c r="C1698" s="27" t="s">
        <v>45</v>
      </c>
      <c r="D1698" s="27" t="s">
        <v>28</v>
      </c>
      <c r="E1698" s="27" t="s">
        <v>52</v>
      </c>
      <c r="F1698" s="28" t="n">
        <v>270</v>
      </c>
      <c r="G1698" s="29" t="n">
        <v>2630</v>
      </c>
      <c r="H1698" s="29" t="n">
        <f aca="false">F1698*G1698</f>
        <v>710100</v>
      </c>
    </row>
    <row r="1699" customFormat="false" ht="15" hidden="false" customHeight="false" outlineLevel="0" collapsed="false">
      <c r="A1699" s="27" t="n">
        <v>2025</v>
      </c>
      <c r="B1699" s="27" t="n">
        <v>5</v>
      </c>
      <c r="C1699" s="27" t="s">
        <v>45</v>
      </c>
      <c r="D1699" s="27" t="s">
        <v>28</v>
      </c>
      <c r="E1699" s="27" t="s">
        <v>54</v>
      </c>
      <c r="F1699" s="28" t="n">
        <v>231</v>
      </c>
      <c r="G1699" s="29" t="n">
        <v>2670</v>
      </c>
      <c r="H1699" s="29" t="n">
        <f aca="false">F1699*G1699</f>
        <v>616770</v>
      </c>
    </row>
    <row r="1700" customFormat="false" ht="15" hidden="false" customHeight="false" outlineLevel="0" collapsed="false">
      <c r="A1700" s="27" t="n">
        <v>2025</v>
      </c>
      <c r="B1700" s="27" t="n">
        <v>5</v>
      </c>
      <c r="C1700" s="27" t="s">
        <v>45</v>
      </c>
      <c r="D1700" s="27" t="s">
        <v>28</v>
      </c>
      <c r="E1700" s="27" t="s">
        <v>56</v>
      </c>
      <c r="F1700" s="28" t="n">
        <v>255</v>
      </c>
      <c r="G1700" s="29" t="n">
        <v>2650</v>
      </c>
      <c r="H1700" s="29" t="n">
        <f aca="false">F1700*G1700</f>
        <v>675750</v>
      </c>
    </row>
    <row r="1701" customFormat="false" ht="15" hidden="false" customHeight="false" outlineLevel="0" collapsed="false">
      <c r="A1701" s="27" t="n">
        <v>2025</v>
      </c>
      <c r="B1701" s="27" t="n">
        <v>5</v>
      </c>
      <c r="C1701" s="27" t="s">
        <v>45</v>
      </c>
      <c r="D1701" s="27" t="s">
        <v>28</v>
      </c>
      <c r="E1701" s="27" t="s">
        <v>58</v>
      </c>
      <c r="F1701" s="28" t="n">
        <v>166</v>
      </c>
      <c r="G1701" s="29" t="n">
        <v>2650</v>
      </c>
      <c r="H1701" s="29" t="n">
        <f aca="false">F1701*G1701</f>
        <v>439900</v>
      </c>
    </row>
    <row r="1702" customFormat="false" ht="15" hidden="false" customHeight="false" outlineLevel="0" collapsed="false">
      <c r="A1702" s="27" t="n">
        <v>2025</v>
      </c>
      <c r="B1702" s="27" t="n">
        <v>6</v>
      </c>
      <c r="C1702" s="27" t="s">
        <v>38</v>
      </c>
      <c r="D1702" s="27" t="s">
        <v>22</v>
      </c>
      <c r="E1702" s="27" t="s">
        <v>50</v>
      </c>
      <c r="F1702" s="28" t="n">
        <v>9236</v>
      </c>
      <c r="G1702" s="29" t="n">
        <v>2770</v>
      </c>
      <c r="H1702" s="29" t="n">
        <f aca="false">F1702*G1702</f>
        <v>25583720</v>
      </c>
    </row>
    <row r="1703" customFormat="false" ht="15" hidden="false" customHeight="false" outlineLevel="0" collapsed="false">
      <c r="A1703" s="27" t="n">
        <v>2025</v>
      </c>
      <c r="B1703" s="27" t="n">
        <v>6</v>
      </c>
      <c r="C1703" s="27" t="s">
        <v>38</v>
      </c>
      <c r="D1703" s="27" t="s">
        <v>22</v>
      </c>
      <c r="E1703" s="27" t="s">
        <v>52</v>
      </c>
      <c r="F1703" s="28" t="n">
        <v>5458</v>
      </c>
      <c r="G1703" s="29" t="n">
        <v>2770</v>
      </c>
      <c r="H1703" s="29" t="n">
        <f aca="false">F1703*G1703</f>
        <v>15118660</v>
      </c>
    </row>
    <row r="1704" customFormat="false" ht="15" hidden="false" customHeight="false" outlineLevel="0" collapsed="false">
      <c r="A1704" s="27" t="n">
        <v>2025</v>
      </c>
      <c r="B1704" s="27" t="n">
        <v>6</v>
      </c>
      <c r="C1704" s="27" t="s">
        <v>38</v>
      </c>
      <c r="D1704" s="27" t="s">
        <v>22</v>
      </c>
      <c r="E1704" s="27" t="s">
        <v>54</v>
      </c>
      <c r="F1704" s="28" t="n">
        <v>4184</v>
      </c>
      <c r="G1704" s="29" t="n">
        <v>2710</v>
      </c>
      <c r="H1704" s="29" t="n">
        <f aca="false">F1704*G1704</f>
        <v>11338640</v>
      </c>
    </row>
    <row r="1705" customFormat="false" ht="15" hidden="false" customHeight="false" outlineLevel="0" collapsed="false">
      <c r="A1705" s="27" t="n">
        <v>2025</v>
      </c>
      <c r="B1705" s="27" t="n">
        <v>6</v>
      </c>
      <c r="C1705" s="27" t="s">
        <v>38</v>
      </c>
      <c r="D1705" s="27" t="s">
        <v>22</v>
      </c>
      <c r="E1705" s="27" t="s">
        <v>56</v>
      </c>
      <c r="F1705" s="28" t="n">
        <v>5567</v>
      </c>
      <c r="G1705" s="29" t="n">
        <v>2790</v>
      </c>
      <c r="H1705" s="29" t="n">
        <f aca="false">F1705*G1705</f>
        <v>15531930</v>
      </c>
    </row>
    <row r="1706" customFormat="false" ht="15" hidden="false" customHeight="false" outlineLevel="0" collapsed="false">
      <c r="A1706" s="27" t="n">
        <v>2025</v>
      </c>
      <c r="B1706" s="27" t="n">
        <v>6</v>
      </c>
      <c r="C1706" s="27" t="s">
        <v>38</v>
      </c>
      <c r="D1706" s="27" t="s">
        <v>22</v>
      </c>
      <c r="E1706" s="27" t="s">
        <v>58</v>
      </c>
      <c r="F1706" s="28" t="n">
        <v>3769</v>
      </c>
      <c r="G1706" s="29" t="n">
        <v>2740</v>
      </c>
      <c r="H1706" s="29" t="n">
        <f aca="false">F1706*G1706</f>
        <v>10327060</v>
      </c>
    </row>
    <row r="1707" customFormat="false" ht="15" hidden="false" customHeight="false" outlineLevel="0" collapsed="false">
      <c r="A1707" s="27" t="n">
        <v>2025</v>
      </c>
      <c r="B1707" s="27" t="n">
        <v>6</v>
      </c>
      <c r="C1707" s="27" t="s">
        <v>38</v>
      </c>
      <c r="D1707" s="27" t="s">
        <v>24</v>
      </c>
      <c r="E1707" s="27" t="s">
        <v>50</v>
      </c>
      <c r="F1707" s="28" t="n">
        <v>4667</v>
      </c>
      <c r="G1707" s="29" t="n">
        <v>2500</v>
      </c>
      <c r="H1707" s="29" t="n">
        <f aca="false">F1707*G1707</f>
        <v>11667500</v>
      </c>
    </row>
    <row r="1708" customFormat="false" ht="15" hidden="false" customHeight="false" outlineLevel="0" collapsed="false">
      <c r="A1708" s="27" t="n">
        <v>2025</v>
      </c>
      <c r="B1708" s="27" t="n">
        <v>6</v>
      </c>
      <c r="C1708" s="27" t="s">
        <v>38</v>
      </c>
      <c r="D1708" s="27" t="s">
        <v>24</v>
      </c>
      <c r="E1708" s="27" t="s">
        <v>52</v>
      </c>
      <c r="F1708" s="28" t="n">
        <v>3298</v>
      </c>
      <c r="G1708" s="29" t="n">
        <v>2540</v>
      </c>
      <c r="H1708" s="29" t="n">
        <f aca="false">F1708*G1708</f>
        <v>8376920</v>
      </c>
    </row>
    <row r="1709" customFormat="false" ht="15" hidden="false" customHeight="false" outlineLevel="0" collapsed="false">
      <c r="A1709" s="27" t="n">
        <v>2025</v>
      </c>
      <c r="B1709" s="27" t="n">
        <v>6</v>
      </c>
      <c r="C1709" s="27" t="s">
        <v>38</v>
      </c>
      <c r="D1709" s="27" t="s">
        <v>24</v>
      </c>
      <c r="E1709" s="27" t="s">
        <v>54</v>
      </c>
      <c r="F1709" s="28" t="n">
        <v>2476</v>
      </c>
      <c r="G1709" s="29" t="n">
        <v>2550</v>
      </c>
      <c r="H1709" s="29" t="n">
        <f aca="false">F1709*G1709</f>
        <v>6313800</v>
      </c>
    </row>
    <row r="1710" customFormat="false" ht="15" hidden="false" customHeight="false" outlineLevel="0" collapsed="false">
      <c r="A1710" s="27" t="n">
        <v>2025</v>
      </c>
      <c r="B1710" s="27" t="n">
        <v>6</v>
      </c>
      <c r="C1710" s="27" t="s">
        <v>38</v>
      </c>
      <c r="D1710" s="27" t="s">
        <v>24</v>
      </c>
      <c r="E1710" s="27" t="s">
        <v>56</v>
      </c>
      <c r="F1710" s="28" t="n">
        <v>3131</v>
      </c>
      <c r="G1710" s="29" t="n">
        <v>2580</v>
      </c>
      <c r="H1710" s="29" t="n">
        <f aca="false">F1710*G1710</f>
        <v>8077980</v>
      </c>
    </row>
    <row r="1711" customFormat="false" ht="15" hidden="false" customHeight="false" outlineLevel="0" collapsed="false">
      <c r="A1711" s="27" t="n">
        <v>2025</v>
      </c>
      <c r="B1711" s="27" t="n">
        <v>6</v>
      </c>
      <c r="C1711" s="27" t="s">
        <v>38</v>
      </c>
      <c r="D1711" s="27" t="s">
        <v>24</v>
      </c>
      <c r="E1711" s="27" t="s">
        <v>58</v>
      </c>
      <c r="F1711" s="28" t="n">
        <v>2144</v>
      </c>
      <c r="G1711" s="29" t="n">
        <v>2580</v>
      </c>
      <c r="H1711" s="29" t="n">
        <f aca="false">F1711*G1711</f>
        <v>5531520</v>
      </c>
    </row>
    <row r="1712" customFormat="false" ht="15" hidden="false" customHeight="false" outlineLevel="0" collapsed="false">
      <c r="A1712" s="27" t="n">
        <v>2025</v>
      </c>
      <c r="B1712" s="27" t="n">
        <v>6</v>
      </c>
      <c r="C1712" s="27" t="s">
        <v>38</v>
      </c>
      <c r="D1712" s="27" t="s">
        <v>26</v>
      </c>
      <c r="E1712" s="27" t="s">
        <v>50</v>
      </c>
      <c r="F1712" s="28" t="n">
        <v>2671</v>
      </c>
      <c r="G1712" s="29" t="n">
        <v>3070</v>
      </c>
      <c r="H1712" s="29" t="n">
        <f aca="false">F1712*G1712</f>
        <v>8199970</v>
      </c>
    </row>
    <row r="1713" customFormat="false" ht="15" hidden="false" customHeight="false" outlineLevel="0" collapsed="false">
      <c r="A1713" s="27" t="n">
        <v>2025</v>
      </c>
      <c r="B1713" s="27" t="n">
        <v>6</v>
      </c>
      <c r="C1713" s="27" t="s">
        <v>38</v>
      </c>
      <c r="D1713" s="27" t="s">
        <v>26</v>
      </c>
      <c r="E1713" s="27" t="s">
        <v>52</v>
      </c>
      <c r="F1713" s="28" t="n">
        <v>1757</v>
      </c>
      <c r="G1713" s="29" t="n">
        <v>3040</v>
      </c>
      <c r="H1713" s="29" t="n">
        <f aca="false">F1713*G1713</f>
        <v>5341280</v>
      </c>
    </row>
    <row r="1714" customFormat="false" ht="15" hidden="false" customHeight="false" outlineLevel="0" collapsed="false">
      <c r="A1714" s="27" t="n">
        <v>2025</v>
      </c>
      <c r="B1714" s="27" t="n">
        <v>6</v>
      </c>
      <c r="C1714" s="27" t="s">
        <v>38</v>
      </c>
      <c r="D1714" s="27" t="s">
        <v>26</v>
      </c>
      <c r="E1714" s="27" t="s">
        <v>54</v>
      </c>
      <c r="F1714" s="28" t="n">
        <v>1523</v>
      </c>
      <c r="G1714" s="29" t="n">
        <v>3080</v>
      </c>
      <c r="H1714" s="29" t="n">
        <f aca="false">F1714*G1714</f>
        <v>4690840</v>
      </c>
    </row>
    <row r="1715" customFormat="false" ht="15" hidden="false" customHeight="false" outlineLevel="0" collapsed="false">
      <c r="A1715" s="27" t="n">
        <v>2025</v>
      </c>
      <c r="B1715" s="27" t="n">
        <v>6</v>
      </c>
      <c r="C1715" s="27" t="s">
        <v>38</v>
      </c>
      <c r="D1715" s="27" t="s">
        <v>26</v>
      </c>
      <c r="E1715" s="27" t="s">
        <v>56</v>
      </c>
      <c r="F1715" s="28" t="n">
        <v>1615</v>
      </c>
      <c r="G1715" s="29" t="n">
        <v>3090</v>
      </c>
      <c r="H1715" s="29" t="n">
        <f aca="false">F1715*G1715</f>
        <v>4990350</v>
      </c>
    </row>
    <row r="1716" customFormat="false" ht="15" hidden="false" customHeight="false" outlineLevel="0" collapsed="false">
      <c r="A1716" s="27" t="n">
        <v>2025</v>
      </c>
      <c r="B1716" s="27" t="n">
        <v>6</v>
      </c>
      <c r="C1716" s="27" t="s">
        <v>38</v>
      </c>
      <c r="D1716" s="27" t="s">
        <v>26</v>
      </c>
      <c r="E1716" s="27" t="s">
        <v>58</v>
      </c>
      <c r="F1716" s="28" t="n">
        <v>1186</v>
      </c>
      <c r="G1716" s="29" t="n">
        <v>3100</v>
      </c>
      <c r="H1716" s="29" t="n">
        <f aca="false">F1716*G1716</f>
        <v>3676600</v>
      </c>
    </row>
    <row r="1717" customFormat="false" ht="15" hidden="false" customHeight="false" outlineLevel="0" collapsed="false">
      <c r="A1717" s="27" t="n">
        <v>2025</v>
      </c>
      <c r="B1717" s="27" t="n">
        <v>6</v>
      </c>
      <c r="C1717" s="27" t="s">
        <v>38</v>
      </c>
      <c r="D1717" s="27" t="s">
        <v>28</v>
      </c>
      <c r="E1717" s="27" t="s">
        <v>50</v>
      </c>
      <c r="F1717" s="28" t="n">
        <v>1159</v>
      </c>
      <c r="G1717" s="29" t="n">
        <v>2920</v>
      </c>
      <c r="H1717" s="29" t="n">
        <f aca="false">F1717*G1717</f>
        <v>3384280</v>
      </c>
    </row>
    <row r="1718" customFormat="false" ht="15" hidden="false" customHeight="false" outlineLevel="0" collapsed="false">
      <c r="A1718" s="27" t="n">
        <v>2025</v>
      </c>
      <c r="B1718" s="27" t="n">
        <v>6</v>
      </c>
      <c r="C1718" s="27" t="s">
        <v>38</v>
      </c>
      <c r="D1718" s="27" t="s">
        <v>28</v>
      </c>
      <c r="E1718" s="27" t="s">
        <v>52</v>
      </c>
      <c r="F1718" s="28" t="n">
        <v>774</v>
      </c>
      <c r="G1718" s="29" t="n">
        <v>2880</v>
      </c>
      <c r="H1718" s="29" t="n">
        <f aca="false">F1718*G1718</f>
        <v>2229120</v>
      </c>
    </row>
    <row r="1719" customFormat="false" ht="15" hidden="false" customHeight="false" outlineLevel="0" collapsed="false">
      <c r="A1719" s="27" t="n">
        <v>2025</v>
      </c>
      <c r="B1719" s="27" t="n">
        <v>6</v>
      </c>
      <c r="C1719" s="27" t="s">
        <v>38</v>
      </c>
      <c r="D1719" s="27" t="s">
        <v>28</v>
      </c>
      <c r="E1719" s="27" t="s">
        <v>54</v>
      </c>
      <c r="F1719" s="28" t="n">
        <v>590</v>
      </c>
      <c r="G1719" s="29" t="n">
        <v>2900</v>
      </c>
      <c r="H1719" s="29" t="n">
        <f aca="false">F1719*G1719</f>
        <v>1711000</v>
      </c>
    </row>
    <row r="1720" customFormat="false" ht="15" hidden="false" customHeight="false" outlineLevel="0" collapsed="false">
      <c r="A1720" s="27" t="n">
        <v>2025</v>
      </c>
      <c r="B1720" s="27" t="n">
        <v>6</v>
      </c>
      <c r="C1720" s="27" t="s">
        <v>38</v>
      </c>
      <c r="D1720" s="27" t="s">
        <v>28</v>
      </c>
      <c r="E1720" s="27" t="s">
        <v>56</v>
      </c>
      <c r="F1720" s="28" t="n">
        <v>724</v>
      </c>
      <c r="G1720" s="29" t="n">
        <v>2880</v>
      </c>
      <c r="H1720" s="29" t="n">
        <f aca="false">F1720*G1720</f>
        <v>2085120</v>
      </c>
    </row>
    <row r="1721" customFormat="false" ht="15" hidden="false" customHeight="false" outlineLevel="0" collapsed="false">
      <c r="A1721" s="27" t="n">
        <v>2025</v>
      </c>
      <c r="B1721" s="27" t="n">
        <v>6</v>
      </c>
      <c r="C1721" s="27" t="s">
        <v>38</v>
      </c>
      <c r="D1721" s="27" t="s">
        <v>28</v>
      </c>
      <c r="E1721" s="27" t="s">
        <v>58</v>
      </c>
      <c r="F1721" s="28" t="n">
        <v>505</v>
      </c>
      <c r="G1721" s="29" t="n">
        <v>2940</v>
      </c>
      <c r="H1721" s="29" t="n">
        <f aca="false">F1721*G1721</f>
        <v>1484700</v>
      </c>
    </row>
    <row r="1722" customFormat="false" ht="15" hidden="false" customHeight="false" outlineLevel="0" collapsed="false">
      <c r="A1722" s="27" t="n">
        <v>2025</v>
      </c>
      <c r="B1722" s="27" t="n">
        <v>6</v>
      </c>
      <c r="C1722" s="27" t="s">
        <v>40</v>
      </c>
      <c r="D1722" s="27" t="s">
        <v>22</v>
      </c>
      <c r="E1722" s="27" t="s">
        <v>50</v>
      </c>
      <c r="F1722" s="28" t="n">
        <v>5082</v>
      </c>
      <c r="G1722" s="29" t="n">
        <v>2430</v>
      </c>
      <c r="H1722" s="29" t="n">
        <f aca="false">F1722*G1722</f>
        <v>12349260</v>
      </c>
    </row>
    <row r="1723" customFormat="false" ht="15" hidden="false" customHeight="false" outlineLevel="0" collapsed="false">
      <c r="A1723" s="27" t="n">
        <v>2025</v>
      </c>
      <c r="B1723" s="27" t="n">
        <v>6</v>
      </c>
      <c r="C1723" s="27" t="s">
        <v>40</v>
      </c>
      <c r="D1723" s="27" t="s">
        <v>22</v>
      </c>
      <c r="E1723" s="27" t="s">
        <v>52</v>
      </c>
      <c r="F1723" s="28" t="n">
        <v>2899</v>
      </c>
      <c r="G1723" s="29" t="n">
        <v>2420</v>
      </c>
      <c r="H1723" s="29" t="n">
        <f aca="false">F1723*G1723</f>
        <v>7015580</v>
      </c>
    </row>
    <row r="1724" customFormat="false" ht="15" hidden="false" customHeight="false" outlineLevel="0" collapsed="false">
      <c r="A1724" s="27" t="n">
        <v>2025</v>
      </c>
      <c r="B1724" s="27" t="n">
        <v>6</v>
      </c>
      <c r="C1724" s="27" t="s">
        <v>40</v>
      </c>
      <c r="D1724" s="27" t="s">
        <v>22</v>
      </c>
      <c r="E1724" s="27" t="s">
        <v>54</v>
      </c>
      <c r="F1724" s="28" t="n">
        <v>2440</v>
      </c>
      <c r="G1724" s="29" t="n">
        <v>2420</v>
      </c>
      <c r="H1724" s="29" t="n">
        <f aca="false">F1724*G1724</f>
        <v>5904800</v>
      </c>
    </row>
    <row r="1725" customFormat="false" ht="15" hidden="false" customHeight="false" outlineLevel="0" collapsed="false">
      <c r="A1725" s="27" t="n">
        <v>2025</v>
      </c>
      <c r="B1725" s="27" t="n">
        <v>6</v>
      </c>
      <c r="C1725" s="27" t="s">
        <v>40</v>
      </c>
      <c r="D1725" s="27" t="s">
        <v>22</v>
      </c>
      <c r="E1725" s="27" t="s">
        <v>56</v>
      </c>
      <c r="F1725" s="28" t="n">
        <v>2687</v>
      </c>
      <c r="G1725" s="29" t="n">
        <v>2450</v>
      </c>
      <c r="H1725" s="29" t="n">
        <f aca="false">F1725*G1725</f>
        <v>6583150</v>
      </c>
    </row>
    <row r="1726" customFormat="false" ht="15" hidden="false" customHeight="false" outlineLevel="0" collapsed="false">
      <c r="A1726" s="27" t="n">
        <v>2025</v>
      </c>
      <c r="B1726" s="27" t="n">
        <v>6</v>
      </c>
      <c r="C1726" s="27" t="s">
        <v>40</v>
      </c>
      <c r="D1726" s="27" t="s">
        <v>22</v>
      </c>
      <c r="E1726" s="27" t="s">
        <v>58</v>
      </c>
      <c r="F1726" s="28" t="n">
        <v>1828</v>
      </c>
      <c r="G1726" s="29" t="n">
        <v>2430</v>
      </c>
      <c r="H1726" s="29" t="n">
        <f aca="false">F1726*G1726</f>
        <v>4442040</v>
      </c>
    </row>
    <row r="1727" customFormat="false" ht="15" hidden="false" customHeight="false" outlineLevel="0" collapsed="false">
      <c r="A1727" s="27" t="n">
        <v>2025</v>
      </c>
      <c r="B1727" s="27" t="n">
        <v>6</v>
      </c>
      <c r="C1727" s="27" t="s">
        <v>40</v>
      </c>
      <c r="D1727" s="27" t="s">
        <v>24</v>
      </c>
      <c r="E1727" s="27" t="s">
        <v>50</v>
      </c>
      <c r="F1727" s="28" t="n">
        <v>2465</v>
      </c>
      <c r="G1727" s="29" t="n">
        <v>2270</v>
      </c>
      <c r="H1727" s="29" t="n">
        <f aca="false">F1727*G1727</f>
        <v>5595550</v>
      </c>
    </row>
    <row r="1728" customFormat="false" ht="15" hidden="false" customHeight="false" outlineLevel="0" collapsed="false">
      <c r="A1728" s="27" t="n">
        <v>2025</v>
      </c>
      <c r="B1728" s="27" t="n">
        <v>6</v>
      </c>
      <c r="C1728" s="27" t="s">
        <v>40</v>
      </c>
      <c r="D1728" s="27" t="s">
        <v>24</v>
      </c>
      <c r="E1728" s="27" t="s">
        <v>52</v>
      </c>
      <c r="F1728" s="28" t="n">
        <v>1835</v>
      </c>
      <c r="G1728" s="29" t="n">
        <v>2270</v>
      </c>
      <c r="H1728" s="29" t="n">
        <f aca="false">F1728*G1728</f>
        <v>4165450</v>
      </c>
    </row>
    <row r="1729" customFormat="false" ht="15" hidden="false" customHeight="false" outlineLevel="0" collapsed="false">
      <c r="A1729" s="27" t="n">
        <v>2025</v>
      </c>
      <c r="B1729" s="27" t="n">
        <v>6</v>
      </c>
      <c r="C1729" s="27" t="s">
        <v>40</v>
      </c>
      <c r="D1729" s="27" t="s">
        <v>24</v>
      </c>
      <c r="E1729" s="27" t="s">
        <v>54</v>
      </c>
      <c r="F1729" s="28" t="n">
        <v>1436</v>
      </c>
      <c r="G1729" s="29" t="n">
        <v>2240</v>
      </c>
      <c r="H1729" s="29" t="n">
        <f aca="false">F1729*G1729</f>
        <v>3216640</v>
      </c>
    </row>
    <row r="1730" customFormat="false" ht="15" hidden="false" customHeight="false" outlineLevel="0" collapsed="false">
      <c r="A1730" s="27" t="n">
        <v>2025</v>
      </c>
      <c r="B1730" s="27" t="n">
        <v>6</v>
      </c>
      <c r="C1730" s="27" t="s">
        <v>40</v>
      </c>
      <c r="D1730" s="27" t="s">
        <v>24</v>
      </c>
      <c r="E1730" s="27" t="s">
        <v>56</v>
      </c>
      <c r="F1730" s="28" t="n">
        <v>1608</v>
      </c>
      <c r="G1730" s="29" t="n">
        <v>2240</v>
      </c>
      <c r="H1730" s="29" t="n">
        <f aca="false">F1730*G1730</f>
        <v>3601920</v>
      </c>
    </row>
    <row r="1731" customFormat="false" ht="15" hidden="false" customHeight="false" outlineLevel="0" collapsed="false">
      <c r="A1731" s="27" t="n">
        <v>2025</v>
      </c>
      <c r="B1731" s="27" t="n">
        <v>6</v>
      </c>
      <c r="C1731" s="27" t="s">
        <v>40</v>
      </c>
      <c r="D1731" s="27" t="s">
        <v>24</v>
      </c>
      <c r="E1731" s="27" t="s">
        <v>58</v>
      </c>
      <c r="F1731" s="28" t="n">
        <v>1075</v>
      </c>
      <c r="G1731" s="29" t="n">
        <v>2270</v>
      </c>
      <c r="H1731" s="29" t="n">
        <f aca="false">F1731*G1731</f>
        <v>2440250</v>
      </c>
    </row>
    <row r="1732" customFormat="false" ht="15" hidden="false" customHeight="false" outlineLevel="0" collapsed="false">
      <c r="A1732" s="27" t="n">
        <v>2025</v>
      </c>
      <c r="B1732" s="27" t="n">
        <v>6</v>
      </c>
      <c r="C1732" s="27" t="s">
        <v>40</v>
      </c>
      <c r="D1732" s="27" t="s">
        <v>26</v>
      </c>
      <c r="E1732" s="27" t="s">
        <v>50</v>
      </c>
      <c r="F1732" s="28" t="n">
        <v>1370</v>
      </c>
      <c r="G1732" s="29" t="n">
        <v>2680</v>
      </c>
      <c r="H1732" s="29" t="n">
        <f aca="false">F1732*G1732</f>
        <v>3671600</v>
      </c>
    </row>
    <row r="1733" customFormat="false" ht="15" hidden="false" customHeight="false" outlineLevel="0" collapsed="false">
      <c r="A1733" s="27" t="n">
        <v>2025</v>
      </c>
      <c r="B1733" s="27" t="n">
        <v>6</v>
      </c>
      <c r="C1733" s="27" t="s">
        <v>40</v>
      </c>
      <c r="D1733" s="27" t="s">
        <v>26</v>
      </c>
      <c r="E1733" s="27" t="s">
        <v>52</v>
      </c>
      <c r="F1733" s="28" t="n">
        <v>796</v>
      </c>
      <c r="G1733" s="29" t="n">
        <v>2680</v>
      </c>
      <c r="H1733" s="29" t="n">
        <f aca="false">F1733*G1733</f>
        <v>2133280</v>
      </c>
    </row>
    <row r="1734" customFormat="false" ht="15" hidden="false" customHeight="false" outlineLevel="0" collapsed="false">
      <c r="A1734" s="27" t="n">
        <v>2025</v>
      </c>
      <c r="B1734" s="27" t="n">
        <v>6</v>
      </c>
      <c r="C1734" s="27" t="s">
        <v>40</v>
      </c>
      <c r="D1734" s="27" t="s">
        <v>26</v>
      </c>
      <c r="E1734" s="27" t="s">
        <v>54</v>
      </c>
      <c r="F1734" s="28" t="n">
        <v>698</v>
      </c>
      <c r="G1734" s="29" t="n">
        <v>2770</v>
      </c>
      <c r="H1734" s="29" t="n">
        <f aca="false">F1734*G1734</f>
        <v>1933460</v>
      </c>
    </row>
    <row r="1735" customFormat="false" ht="15" hidden="false" customHeight="false" outlineLevel="0" collapsed="false">
      <c r="A1735" s="27" t="n">
        <v>2025</v>
      </c>
      <c r="B1735" s="27" t="n">
        <v>6</v>
      </c>
      <c r="C1735" s="27" t="s">
        <v>40</v>
      </c>
      <c r="D1735" s="27" t="s">
        <v>26</v>
      </c>
      <c r="E1735" s="27" t="s">
        <v>56</v>
      </c>
      <c r="F1735" s="28" t="n">
        <v>865</v>
      </c>
      <c r="G1735" s="29" t="n">
        <v>2670</v>
      </c>
      <c r="H1735" s="29" t="n">
        <f aca="false">F1735*G1735</f>
        <v>2309550</v>
      </c>
    </row>
    <row r="1736" customFormat="false" ht="15" hidden="false" customHeight="false" outlineLevel="0" collapsed="false">
      <c r="A1736" s="27" t="n">
        <v>2025</v>
      </c>
      <c r="B1736" s="27" t="n">
        <v>6</v>
      </c>
      <c r="C1736" s="27" t="s">
        <v>40</v>
      </c>
      <c r="D1736" s="27" t="s">
        <v>26</v>
      </c>
      <c r="E1736" s="27" t="s">
        <v>58</v>
      </c>
      <c r="F1736" s="28" t="n">
        <v>593</v>
      </c>
      <c r="G1736" s="29" t="n">
        <v>2740</v>
      </c>
      <c r="H1736" s="29" t="n">
        <f aca="false">F1736*G1736</f>
        <v>1624820</v>
      </c>
    </row>
    <row r="1737" customFormat="false" ht="15" hidden="false" customHeight="false" outlineLevel="0" collapsed="false">
      <c r="A1737" s="27" t="n">
        <v>2025</v>
      </c>
      <c r="B1737" s="27" t="n">
        <v>6</v>
      </c>
      <c r="C1737" s="27" t="s">
        <v>40</v>
      </c>
      <c r="D1737" s="27" t="s">
        <v>28</v>
      </c>
      <c r="E1737" s="27" t="s">
        <v>50</v>
      </c>
      <c r="F1737" s="28" t="n">
        <v>594</v>
      </c>
      <c r="G1737" s="29" t="n">
        <v>2540</v>
      </c>
      <c r="H1737" s="29" t="n">
        <f aca="false">F1737*G1737</f>
        <v>1508760</v>
      </c>
    </row>
    <row r="1738" customFormat="false" ht="15" hidden="false" customHeight="false" outlineLevel="0" collapsed="false">
      <c r="A1738" s="27" t="n">
        <v>2025</v>
      </c>
      <c r="B1738" s="27" t="n">
        <v>6</v>
      </c>
      <c r="C1738" s="27" t="s">
        <v>40</v>
      </c>
      <c r="D1738" s="27" t="s">
        <v>28</v>
      </c>
      <c r="E1738" s="27" t="s">
        <v>52</v>
      </c>
      <c r="F1738" s="28" t="n">
        <v>424</v>
      </c>
      <c r="G1738" s="29" t="n">
        <v>2560</v>
      </c>
      <c r="H1738" s="29" t="n">
        <f aca="false">F1738*G1738</f>
        <v>1085440</v>
      </c>
    </row>
    <row r="1739" customFormat="false" ht="15" hidden="false" customHeight="false" outlineLevel="0" collapsed="false">
      <c r="A1739" s="27" t="n">
        <v>2025</v>
      </c>
      <c r="B1739" s="27" t="n">
        <v>6</v>
      </c>
      <c r="C1739" s="27" t="s">
        <v>40</v>
      </c>
      <c r="D1739" s="27" t="s">
        <v>28</v>
      </c>
      <c r="E1739" s="27" t="s">
        <v>54</v>
      </c>
      <c r="F1739" s="28" t="n">
        <v>301</v>
      </c>
      <c r="G1739" s="29" t="n">
        <v>2560</v>
      </c>
      <c r="H1739" s="29" t="n">
        <f aca="false">F1739*G1739</f>
        <v>770560</v>
      </c>
    </row>
    <row r="1740" customFormat="false" ht="15" hidden="false" customHeight="false" outlineLevel="0" collapsed="false">
      <c r="A1740" s="27" t="n">
        <v>2025</v>
      </c>
      <c r="B1740" s="27" t="n">
        <v>6</v>
      </c>
      <c r="C1740" s="27" t="s">
        <v>40</v>
      </c>
      <c r="D1740" s="27" t="s">
        <v>28</v>
      </c>
      <c r="E1740" s="27" t="s">
        <v>56</v>
      </c>
      <c r="F1740" s="28" t="n">
        <v>341</v>
      </c>
      <c r="G1740" s="29" t="n">
        <v>2540</v>
      </c>
      <c r="H1740" s="29" t="n">
        <f aca="false">F1740*G1740</f>
        <v>866140</v>
      </c>
    </row>
    <row r="1741" customFormat="false" ht="15" hidden="false" customHeight="false" outlineLevel="0" collapsed="false">
      <c r="A1741" s="27" t="n">
        <v>2025</v>
      </c>
      <c r="B1741" s="27" t="n">
        <v>6</v>
      </c>
      <c r="C1741" s="27" t="s">
        <v>40</v>
      </c>
      <c r="D1741" s="27" t="s">
        <v>28</v>
      </c>
      <c r="E1741" s="27" t="s">
        <v>58</v>
      </c>
      <c r="F1741" s="28" t="n">
        <v>276</v>
      </c>
      <c r="G1741" s="29" t="n">
        <v>2550</v>
      </c>
      <c r="H1741" s="29" t="n">
        <f aca="false">F1741*G1741</f>
        <v>703800</v>
      </c>
    </row>
    <row r="1742" customFormat="false" ht="15" hidden="false" customHeight="false" outlineLevel="0" collapsed="false">
      <c r="A1742" s="27" t="n">
        <v>2025</v>
      </c>
      <c r="B1742" s="27" t="n">
        <v>6</v>
      </c>
      <c r="C1742" s="27" t="s">
        <v>42</v>
      </c>
      <c r="D1742" s="27" t="s">
        <v>22</v>
      </c>
      <c r="E1742" s="27" t="s">
        <v>50</v>
      </c>
      <c r="F1742" s="28" t="n">
        <v>4999</v>
      </c>
      <c r="G1742" s="29" t="n">
        <v>2240</v>
      </c>
      <c r="H1742" s="29" t="n">
        <f aca="false">F1742*G1742</f>
        <v>11197760</v>
      </c>
    </row>
    <row r="1743" customFormat="false" ht="15" hidden="false" customHeight="false" outlineLevel="0" collapsed="false">
      <c r="A1743" s="27" t="n">
        <v>2025</v>
      </c>
      <c r="B1743" s="27" t="n">
        <v>6</v>
      </c>
      <c r="C1743" s="27" t="s">
        <v>42</v>
      </c>
      <c r="D1743" s="27" t="s">
        <v>22</v>
      </c>
      <c r="E1743" s="27" t="s">
        <v>52</v>
      </c>
      <c r="F1743" s="28" t="n">
        <v>3360</v>
      </c>
      <c r="G1743" s="29" t="n">
        <v>2240</v>
      </c>
      <c r="H1743" s="29" t="n">
        <f aca="false">F1743*G1743</f>
        <v>7526400</v>
      </c>
    </row>
    <row r="1744" customFormat="false" ht="15" hidden="false" customHeight="false" outlineLevel="0" collapsed="false">
      <c r="A1744" s="27" t="n">
        <v>2025</v>
      </c>
      <c r="B1744" s="27" t="n">
        <v>6</v>
      </c>
      <c r="C1744" s="27" t="s">
        <v>42</v>
      </c>
      <c r="D1744" s="27" t="s">
        <v>22</v>
      </c>
      <c r="E1744" s="27" t="s">
        <v>54</v>
      </c>
      <c r="F1744" s="28" t="n">
        <v>2675</v>
      </c>
      <c r="G1744" s="29" t="n">
        <v>2240</v>
      </c>
      <c r="H1744" s="29" t="n">
        <f aca="false">F1744*G1744</f>
        <v>5992000</v>
      </c>
    </row>
    <row r="1745" customFormat="false" ht="15" hidden="false" customHeight="false" outlineLevel="0" collapsed="false">
      <c r="A1745" s="27" t="n">
        <v>2025</v>
      </c>
      <c r="B1745" s="27" t="n">
        <v>6</v>
      </c>
      <c r="C1745" s="27" t="s">
        <v>42</v>
      </c>
      <c r="D1745" s="27" t="s">
        <v>22</v>
      </c>
      <c r="E1745" s="27" t="s">
        <v>56</v>
      </c>
      <c r="F1745" s="28" t="n">
        <v>3156</v>
      </c>
      <c r="G1745" s="29" t="n">
        <v>2220</v>
      </c>
      <c r="H1745" s="29" t="n">
        <f aca="false">F1745*G1745</f>
        <v>7006320</v>
      </c>
    </row>
    <row r="1746" customFormat="false" ht="15" hidden="false" customHeight="false" outlineLevel="0" collapsed="false">
      <c r="A1746" s="27" t="n">
        <v>2025</v>
      </c>
      <c r="B1746" s="27" t="n">
        <v>6</v>
      </c>
      <c r="C1746" s="27" t="s">
        <v>42</v>
      </c>
      <c r="D1746" s="27" t="s">
        <v>22</v>
      </c>
      <c r="E1746" s="27" t="s">
        <v>58</v>
      </c>
      <c r="F1746" s="28" t="n">
        <v>2092</v>
      </c>
      <c r="G1746" s="29" t="n">
        <v>2210</v>
      </c>
      <c r="H1746" s="29" t="n">
        <f aca="false">F1746*G1746</f>
        <v>4623320</v>
      </c>
    </row>
    <row r="1747" customFormat="false" ht="15" hidden="false" customHeight="false" outlineLevel="0" collapsed="false">
      <c r="A1747" s="27" t="n">
        <v>2025</v>
      </c>
      <c r="B1747" s="27" t="n">
        <v>6</v>
      </c>
      <c r="C1747" s="27" t="s">
        <v>42</v>
      </c>
      <c r="D1747" s="27" t="s">
        <v>24</v>
      </c>
      <c r="E1747" s="27" t="s">
        <v>50</v>
      </c>
      <c r="F1747" s="28" t="n">
        <v>2788</v>
      </c>
      <c r="G1747" s="29" t="n">
        <v>2040</v>
      </c>
      <c r="H1747" s="29" t="n">
        <f aca="false">F1747*G1747</f>
        <v>5687520</v>
      </c>
    </row>
    <row r="1748" customFormat="false" ht="15" hidden="false" customHeight="false" outlineLevel="0" collapsed="false">
      <c r="A1748" s="27" t="n">
        <v>2025</v>
      </c>
      <c r="B1748" s="27" t="n">
        <v>6</v>
      </c>
      <c r="C1748" s="27" t="s">
        <v>42</v>
      </c>
      <c r="D1748" s="27" t="s">
        <v>24</v>
      </c>
      <c r="E1748" s="27" t="s">
        <v>52</v>
      </c>
      <c r="F1748" s="28" t="n">
        <v>1829</v>
      </c>
      <c r="G1748" s="29" t="n">
        <v>2070</v>
      </c>
      <c r="H1748" s="29" t="n">
        <f aca="false">F1748*G1748</f>
        <v>3786030</v>
      </c>
    </row>
    <row r="1749" customFormat="false" ht="15" hidden="false" customHeight="false" outlineLevel="0" collapsed="false">
      <c r="A1749" s="27" t="n">
        <v>2025</v>
      </c>
      <c r="B1749" s="27" t="n">
        <v>6</v>
      </c>
      <c r="C1749" s="27" t="s">
        <v>42</v>
      </c>
      <c r="D1749" s="27" t="s">
        <v>24</v>
      </c>
      <c r="E1749" s="27" t="s">
        <v>54</v>
      </c>
      <c r="F1749" s="28" t="n">
        <v>1591</v>
      </c>
      <c r="G1749" s="29" t="n">
        <v>2060</v>
      </c>
      <c r="H1749" s="29" t="n">
        <f aca="false">F1749*G1749</f>
        <v>3277460</v>
      </c>
    </row>
    <row r="1750" customFormat="false" ht="15" hidden="false" customHeight="false" outlineLevel="0" collapsed="false">
      <c r="A1750" s="27" t="n">
        <v>2025</v>
      </c>
      <c r="B1750" s="27" t="n">
        <v>6</v>
      </c>
      <c r="C1750" s="27" t="s">
        <v>42</v>
      </c>
      <c r="D1750" s="27" t="s">
        <v>24</v>
      </c>
      <c r="E1750" s="27" t="s">
        <v>56</v>
      </c>
      <c r="F1750" s="28" t="n">
        <v>1851</v>
      </c>
      <c r="G1750" s="29" t="n">
        <v>2080</v>
      </c>
      <c r="H1750" s="29" t="n">
        <f aca="false">F1750*G1750</f>
        <v>3850080</v>
      </c>
    </row>
    <row r="1751" customFormat="false" ht="15" hidden="false" customHeight="false" outlineLevel="0" collapsed="false">
      <c r="A1751" s="27" t="n">
        <v>2025</v>
      </c>
      <c r="B1751" s="27" t="n">
        <v>6</v>
      </c>
      <c r="C1751" s="27" t="s">
        <v>42</v>
      </c>
      <c r="D1751" s="27" t="s">
        <v>24</v>
      </c>
      <c r="E1751" s="27" t="s">
        <v>58</v>
      </c>
      <c r="F1751" s="28" t="n">
        <v>1192</v>
      </c>
      <c r="G1751" s="29" t="n">
        <v>2070</v>
      </c>
      <c r="H1751" s="29" t="n">
        <f aca="false">F1751*G1751</f>
        <v>2467440</v>
      </c>
    </row>
    <row r="1752" customFormat="false" ht="15" hidden="false" customHeight="false" outlineLevel="0" collapsed="false">
      <c r="A1752" s="27" t="n">
        <v>2025</v>
      </c>
      <c r="B1752" s="27" t="n">
        <v>6</v>
      </c>
      <c r="C1752" s="27" t="s">
        <v>42</v>
      </c>
      <c r="D1752" s="27" t="s">
        <v>26</v>
      </c>
      <c r="E1752" s="27" t="s">
        <v>50</v>
      </c>
      <c r="F1752" s="28" t="n">
        <v>1493</v>
      </c>
      <c r="G1752" s="29" t="n">
        <v>2510</v>
      </c>
      <c r="H1752" s="29" t="n">
        <f aca="false">F1752*G1752</f>
        <v>3747430</v>
      </c>
    </row>
    <row r="1753" customFormat="false" ht="15" hidden="false" customHeight="false" outlineLevel="0" collapsed="false">
      <c r="A1753" s="27" t="n">
        <v>2025</v>
      </c>
      <c r="B1753" s="27" t="n">
        <v>6</v>
      </c>
      <c r="C1753" s="27" t="s">
        <v>42</v>
      </c>
      <c r="D1753" s="27" t="s">
        <v>26</v>
      </c>
      <c r="E1753" s="27" t="s">
        <v>52</v>
      </c>
      <c r="F1753" s="28" t="n">
        <v>975</v>
      </c>
      <c r="G1753" s="29" t="n">
        <v>2450</v>
      </c>
      <c r="H1753" s="29" t="n">
        <f aca="false">F1753*G1753</f>
        <v>2388750</v>
      </c>
    </row>
    <row r="1754" customFormat="false" ht="15" hidden="false" customHeight="false" outlineLevel="0" collapsed="false">
      <c r="A1754" s="27" t="n">
        <v>2025</v>
      </c>
      <c r="B1754" s="27" t="n">
        <v>6</v>
      </c>
      <c r="C1754" s="27" t="s">
        <v>42</v>
      </c>
      <c r="D1754" s="27" t="s">
        <v>26</v>
      </c>
      <c r="E1754" s="27" t="s">
        <v>54</v>
      </c>
      <c r="F1754" s="28" t="n">
        <v>762</v>
      </c>
      <c r="G1754" s="29" t="n">
        <v>2520</v>
      </c>
      <c r="H1754" s="29" t="n">
        <f aca="false">F1754*G1754</f>
        <v>1920240</v>
      </c>
    </row>
    <row r="1755" customFormat="false" ht="15" hidden="false" customHeight="false" outlineLevel="0" collapsed="false">
      <c r="A1755" s="27" t="n">
        <v>2025</v>
      </c>
      <c r="B1755" s="27" t="n">
        <v>6</v>
      </c>
      <c r="C1755" s="27" t="s">
        <v>42</v>
      </c>
      <c r="D1755" s="27" t="s">
        <v>26</v>
      </c>
      <c r="E1755" s="27" t="s">
        <v>56</v>
      </c>
      <c r="F1755" s="28" t="n">
        <v>889</v>
      </c>
      <c r="G1755" s="29" t="n">
        <v>2490</v>
      </c>
      <c r="H1755" s="29" t="n">
        <f aca="false">F1755*G1755</f>
        <v>2213610</v>
      </c>
    </row>
    <row r="1756" customFormat="false" ht="15" hidden="false" customHeight="false" outlineLevel="0" collapsed="false">
      <c r="A1756" s="27" t="n">
        <v>2025</v>
      </c>
      <c r="B1756" s="27" t="n">
        <v>6</v>
      </c>
      <c r="C1756" s="27" t="s">
        <v>42</v>
      </c>
      <c r="D1756" s="27" t="s">
        <v>26</v>
      </c>
      <c r="E1756" s="27" t="s">
        <v>58</v>
      </c>
      <c r="F1756" s="28" t="n">
        <v>631</v>
      </c>
      <c r="G1756" s="29" t="n">
        <v>2460</v>
      </c>
      <c r="H1756" s="29" t="n">
        <f aca="false">F1756*G1756</f>
        <v>1552260</v>
      </c>
    </row>
    <row r="1757" customFormat="false" ht="15" hidden="false" customHeight="false" outlineLevel="0" collapsed="false">
      <c r="A1757" s="27" t="n">
        <v>2025</v>
      </c>
      <c r="B1757" s="27" t="n">
        <v>6</v>
      </c>
      <c r="C1757" s="27" t="s">
        <v>42</v>
      </c>
      <c r="D1757" s="27" t="s">
        <v>28</v>
      </c>
      <c r="E1757" s="27" t="s">
        <v>50</v>
      </c>
      <c r="F1757" s="28" t="n">
        <v>732</v>
      </c>
      <c r="G1757" s="29" t="n">
        <v>2290</v>
      </c>
      <c r="H1757" s="29" t="n">
        <f aca="false">F1757*G1757</f>
        <v>1676280</v>
      </c>
    </row>
    <row r="1758" customFormat="false" ht="15" hidden="false" customHeight="false" outlineLevel="0" collapsed="false">
      <c r="A1758" s="27" t="n">
        <v>2025</v>
      </c>
      <c r="B1758" s="27" t="n">
        <v>6</v>
      </c>
      <c r="C1758" s="27" t="s">
        <v>42</v>
      </c>
      <c r="D1758" s="27" t="s">
        <v>28</v>
      </c>
      <c r="E1758" s="27" t="s">
        <v>52</v>
      </c>
      <c r="F1758" s="28" t="n">
        <v>432</v>
      </c>
      <c r="G1758" s="29" t="n">
        <v>2350</v>
      </c>
      <c r="H1758" s="29" t="n">
        <f aca="false">F1758*G1758</f>
        <v>1015200</v>
      </c>
    </row>
    <row r="1759" customFormat="false" ht="15" hidden="false" customHeight="false" outlineLevel="0" collapsed="false">
      <c r="A1759" s="27" t="n">
        <v>2025</v>
      </c>
      <c r="B1759" s="27" t="n">
        <v>6</v>
      </c>
      <c r="C1759" s="27" t="s">
        <v>42</v>
      </c>
      <c r="D1759" s="27" t="s">
        <v>28</v>
      </c>
      <c r="E1759" s="27" t="s">
        <v>54</v>
      </c>
      <c r="F1759" s="28" t="n">
        <v>363</v>
      </c>
      <c r="G1759" s="29" t="n">
        <v>2320</v>
      </c>
      <c r="H1759" s="29" t="n">
        <f aca="false">F1759*G1759</f>
        <v>842160</v>
      </c>
    </row>
    <row r="1760" customFormat="false" ht="15" hidden="false" customHeight="false" outlineLevel="0" collapsed="false">
      <c r="A1760" s="27" t="n">
        <v>2025</v>
      </c>
      <c r="B1760" s="27" t="n">
        <v>6</v>
      </c>
      <c r="C1760" s="27" t="s">
        <v>42</v>
      </c>
      <c r="D1760" s="27" t="s">
        <v>28</v>
      </c>
      <c r="E1760" s="27" t="s">
        <v>56</v>
      </c>
      <c r="F1760" s="28" t="n">
        <v>433</v>
      </c>
      <c r="G1760" s="29" t="n">
        <v>2320</v>
      </c>
      <c r="H1760" s="29" t="n">
        <f aca="false">F1760*G1760</f>
        <v>1004560</v>
      </c>
    </row>
    <row r="1761" customFormat="false" ht="15" hidden="false" customHeight="false" outlineLevel="0" collapsed="false">
      <c r="A1761" s="27" t="n">
        <v>2025</v>
      </c>
      <c r="B1761" s="27" t="n">
        <v>6</v>
      </c>
      <c r="C1761" s="27" t="s">
        <v>42</v>
      </c>
      <c r="D1761" s="27" t="s">
        <v>28</v>
      </c>
      <c r="E1761" s="27" t="s">
        <v>58</v>
      </c>
      <c r="F1761" s="28" t="n">
        <v>290</v>
      </c>
      <c r="G1761" s="29" t="n">
        <v>2340</v>
      </c>
      <c r="H1761" s="29" t="n">
        <f aca="false">F1761*G1761</f>
        <v>678600</v>
      </c>
    </row>
    <row r="1762" customFormat="false" ht="15" hidden="false" customHeight="false" outlineLevel="0" collapsed="false">
      <c r="A1762" s="27" t="n">
        <v>2025</v>
      </c>
      <c r="B1762" s="27" t="n">
        <v>6</v>
      </c>
      <c r="C1762" s="27" t="s">
        <v>44</v>
      </c>
      <c r="D1762" s="27" t="s">
        <v>22</v>
      </c>
      <c r="E1762" s="27" t="s">
        <v>50</v>
      </c>
      <c r="F1762" s="28" t="n">
        <v>3336</v>
      </c>
      <c r="G1762" s="29" t="n">
        <v>4120</v>
      </c>
      <c r="H1762" s="29" t="n">
        <f aca="false">F1762*G1762</f>
        <v>13744320</v>
      </c>
    </row>
    <row r="1763" customFormat="false" ht="15" hidden="false" customHeight="false" outlineLevel="0" collapsed="false">
      <c r="A1763" s="27" t="n">
        <v>2025</v>
      </c>
      <c r="B1763" s="27" t="n">
        <v>6</v>
      </c>
      <c r="C1763" s="27" t="s">
        <v>44</v>
      </c>
      <c r="D1763" s="27" t="s">
        <v>22</v>
      </c>
      <c r="E1763" s="27" t="s">
        <v>52</v>
      </c>
      <c r="F1763" s="28" t="n">
        <v>2130</v>
      </c>
      <c r="G1763" s="29" t="n">
        <v>4050</v>
      </c>
      <c r="H1763" s="29" t="n">
        <f aca="false">F1763*G1763</f>
        <v>8626500</v>
      </c>
    </row>
    <row r="1764" customFormat="false" ht="15" hidden="false" customHeight="false" outlineLevel="0" collapsed="false">
      <c r="A1764" s="27" t="n">
        <v>2025</v>
      </c>
      <c r="B1764" s="27" t="n">
        <v>6</v>
      </c>
      <c r="C1764" s="27" t="s">
        <v>44</v>
      </c>
      <c r="D1764" s="27" t="s">
        <v>22</v>
      </c>
      <c r="E1764" s="27" t="s">
        <v>54</v>
      </c>
      <c r="F1764" s="28" t="n">
        <v>1651</v>
      </c>
      <c r="G1764" s="29" t="n">
        <v>4180</v>
      </c>
      <c r="H1764" s="29" t="n">
        <f aca="false">F1764*G1764</f>
        <v>6901180</v>
      </c>
    </row>
    <row r="1765" customFormat="false" ht="15" hidden="false" customHeight="false" outlineLevel="0" collapsed="false">
      <c r="A1765" s="27" t="n">
        <v>2025</v>
      </c>
      <c r="B1765" s="27" t="n">
        <v>6</v>
      </c>
      <c r="C1765" s="27" t="s">
        <v>44</v>
      </c>
      <c r="D1765" s="27" t="s">
        <v>22</v>
      </c>
      <c r="E1765" s="27" t="s">
        <v>56</v>
      </c>
      <c r="F1765" s="28" t="n">
        <v>2095</v>
      </c>
      <c r="G1765" s="29" t="n">
        <v>4060</v>
      </c>
      <c r="H1765" s="29" t="n">
        <f aca="false">F1765*G1765</f>
        <v>8505700</v>
      </c>
    </row>
    <row r="1766" customFormat="false" ht="15" hidden="false" customHeight="false" outlineLevel="0" collapsed="false">
      <c r="A1766" s="27" t="n">
        <v>2025</v>
      </c>
      <c r="B1766" s="27" t="n">
        <v>6</v>
      </c>
      <c r="C1766" s="27" t="s">
        <v>44</v>
      </c>
      <c r="D1766" s="27" t="s">
        <v>22</v>
      </c>
      <c r="E1766" s="27" t="s">
        <v>58</v>
      </c>
      <c r="F1766" s="28" t="n">
        <v>1298</v>
      </c>
      <c r="G1766" s="29" t="n">
        <v>4110</v>
      </c>
      <c r="H1766" s="29" t="n">
        <f aca="false">F1766*G1766</f>
        <v>5334780</v>
      </c>
    </row>
    <row r="1767" customFormat="false" ht="15" hidden="false" customHeight="false" outlineLevel="0" collapsed="false">
      <c r="A1767" s="27" t="n">
        <v>2025</v>
      </c>
      <c r="B1767" s="27" t="n">
        <v>6</v>
      </c>
      <c r="C1767" s="27" t="s">
        <v>44</v>
      </c>
      <c r="D1767" s="27" t="s">
        <v>24</v>
      </c>
      <c r="E1767" s="27" t="s">
        <v>50</v>
      </c>
      <c r="F1767" s="28" t="n">
        <v>2161</v>
      </c>
      <c r="G1767" s="29" t="n">
        <v>3820</v>
      </c>
      <c r="H1767" s="29" t="n">
        <f aca="false">F1767*G1767</f>
        <v>8255020</v>
      </c>
    </row>
    <row r="1768" customFormat="false" ht="15" hidden="false" customHeight="false" outlineLevel="0" collapsed="false">
      <c r="A1768" s="27" t="n">
        <v>2025</v>
      </c>
      <c r="B1768" s="27" t="n">
        <v>6</v>
      </c>
      <c r="C1768" s="27" t="s">
        <v>44</v>
      </c>
      <c r="D1768" s="27" t="s">
        <v>24</v>
      </c>
      <c r="E1768" s="27" t="s">
        <v>52</v>
      </c>
      <c r="F1768" s="28" t="n">
        <v>1335</v>
      </c>
      <c r="G1768" s="29" t="n">
        <v>3840</v>
      </c>
      <c r="H1768" s="29" t="n">
        <f aca="false">F1768*G1768</f>
        <v>5126400</v>
      </c>
    </row>
    <row r="1769" customFormat="false" ht="15" hidden="false" customHeight="false" outlineLevel="0" collapsed="false">
      <c r="A1769" s="27" t="n">
        <v>2025</v>
      </c>
      <c r="B1769" s="27" t="n">
        <v>6</v>
      </c>
      <c r="C1769" s="27" t="s">
        <v>44</v>
      </c>
      <c r="D1769" s="27" t="s">
        <v>24</v>
      </c>
      <c r="E1769" s="27" t="s">
        <v>54</v>
      </c>
      <c r="F1769" s="28" t="n">
        <v>1026</v>
      </c>
      <c r="G1769" s="29" t="n">
        <v>3780</v>
      </c>
      <c r="H1769" s="29" t="n">
        <f aca="false">F1769*G1769</f>
        <v>3878280</v>
      </c>
    </row>
    <row r="1770" customFormat="false" ht="15" hidden="false" customHeight="false" outlineLevel="0" collapsed="false">
      <c r="A1770" s="27" t="n">
        <v>2025</v>
      </c>
      <c r="B1770" s="27" t="n">
        <v>6</v>
      </c>
      <c r="C1770" s="27" t="s">
        <v>44</v>
      </c>
      <c r="D1770" s="27" t="s">
        <v>24</v>
      </c>
      <c r="E1770" s="27" t="s">
        <v>56</v>
      </c>
      <c r="F1770" s="28" t="n">
        <v>1246</v>
      </c>
      <c r="G1770" s="29" t="n">
        <v>3810</v>
      </c>
      <c r="H1770" s="29" t="n">
        <f aca="false">F1770*G1770</f>
        <v>4747260</v>
      </c>
    </row>
    <row r="1771" customFormat="false" ht="15" hidden="false" customHeight="false" outlineLevel="0" collapsed="false">
      <c r="A1771" s="27" t="n">
        <v>2025</v>
      </c>
      <c r="B1771" s="27" t="n">
        <v>6</v>
      </c>
      <c r="C1771" s="27" t="s">
        <v>44</v>
      </c>
      <c r="D1771" s="27" t="s">
        <v>24</v>
      </c>
      <c r="E1771" s="27" t="s">
        <v>58</v>
      </c>
      <c r="F1771" s="28" t="n">
        <v>849</v>
      </c>
      <c r="G1771" s="29" t="n">
        <v>3800</v>
      </c>
      <c r="H1771" s="29" t="n">
        <f aca="false">F1771*G1771</f>
        <v>3226200</v>
      </c>
    </row>
    <row r="1772" customFormat="false" ht="15" hidden="false" customHeight="false" outlineLevel="0" collapsed="false">
      <c r="A1772" s="27" t="n">
        <v>2025</v>
      </c>
      <c r="B1772" s="27" t="n">
        <v>6</v>
      </c>
      <c r="C1772" s="27" t="s">
        <v>44</v>
      </c>
      <c r="D1772" s="27" t="s">
        <v>26</v>
      </c>
      <c r="E1772" s="27" t="s">
        <v>50</v>
      </c>
      <c r="F1772" s="28" t="n">
        <v>1030</v>
      </c>
      <c r="G1772" s="29" t="n">
        <v>4620</v>
      </c>
      <c r="H1772" s="29" t="n">
        <f aca="false">F1772*G1772</f>
        <v>4758600</v>
      </c>
    </row>
    <row r="1773" customFormat="false" ht="15" hidden="false" customHeight="false" outlineLevel="0" collapsed="false">
      <c r="A1773" s="27" t="n">
        <v>2025</v>
      </c>
      <c r="B1773" s="27" t="n">
        <v>6</v>
      </c>
      <c r="C1773" s="27" t="s">
        <v>44</v>
      </c>
      <c r="D1773" s="27" t="s">
        <v>26</v>
      </c>
      <c r="E1773" s="27" t="s">
        <v>52</v>
      </c>
      <c r="F1773" s="28" t="n">
        <v>633</v>
      </c>
      <c r="G1773" s="29" t="n">
        <v>4630</v>
      </c>
      <c r="H1773" s="29" t="n">
        <f aca="false">F1773*G1773</f>
        <v>2930790</v>
      </c>
    </row>
    <row r="1774" customFormat="false" ht="15" hidden="false" customHeight="false" outlineLevel="0" collapsed="false">
      <c r="A1774" s="27" t="n">
        <v>2025</v>
      </c>
      <c r="B1774" s="27" t="n">
        <v>6</v>
      </c>
      <c r="C1774" s="27" t="s">
        <v>44</v>
      </c>
      <c r="D1774" s="27" t="s">
        <v>26</v>
      </c>
      <c r="E1774" s="27" t="s">
        <v>54</v>
      </c>
      <c r="F1774" s="28" t="n">
        <v>504</v>
      </c>
      <c r="G1774" s="29" t="n">
        <v>4580</v>
      </c>
      <c r="H1774" s="29" t="n">
        <f aca="false">F1774*G1774</f>
        <v>2308320</v>
      </c>
    </row>
    <row r="1775" customFormat="false" ht="15" hidden="false" customHeight="false" outlineLevel="0" collapsed="false">
      <c r="A1775" s="27" t="n">
        <v>2025</v>
      </c>
      <c r="B1775" s="27" t="n">
        <v>6</v>
      </c>
      <c r="C1775" s="27" t="s">
        <v>44</v>
      </c>
      <c r="D1775" s="27" t="s">
        <v>26</v>
      </c>
      <c r="E1775" s="27" t="s">
        <v>56</v>
      </c>
      <c r="F1775" s="28" t="n">
        <v>655</v>
      </c>
      <c r="G1775" s="29" t="n">
        <v>4660</v>
      </c>
      <c r="H1775" s="29" t="n">
        <f aca="false">F1775*G1775</f>
        <v>3052300</v>
      </c>
    </row>
    <row r="1776" customFormat="false" ht="15" hidden="false" customHeight="false" outlineLevel="0" collapsed="false">
      <c r="A1776" s="27" t="n">
        <v>2025</v>
      </c>
      <c r="B1776" s="27" t="n">
        <v>6</v>
      </c>
      <c r="C1776" s="27" t="s">
        <v>44</v>
      </c>
      <c r="D1776" s="27" t="s">
        <v>26</v>
      </c>
      <c r="E1776" s="27" t="s">
        <v>58</v>
      </c>
      <c r="F1776" s="28" t="n">
        <v>399</v>
      </c>
      <c r="G1776" s="29" t="n">
        <v>4630</v>
      </c>
      <c r="H1776" s="29" t="n">
        <f aca="false">F1776*G1776</f>
        <v>1847370</v>
      </c>
    </row>
    <row r="1777" customFormat="false" ht="15" hidden="false" customHeight="false" outlineLevel="0" collapsed="false">
      <c r="A1777" s="27" t="n">
        <v>2025</v>
      </c>
      <c r="B1777" s="27" t="n">
        <v>6</v>
      </c>
      <c r="C1777" s="27" t="s">
        <v>44</v>
      </c>
      <c r="D1777" s="27" t="s">
        <v>28</v>
      </c>
      <c r="E1777" s="27" t="s">
        <v>50</v>
      </c>
      <c r="F1777" s="28" t="n">
        <v>464</v>
      </c>
      <c r="G1777" s="29" t="n">
        <v>4270</v>
      </c>
      <c r="H1777" s="29" t="n">
        <f aca="false">F1777*G1777</f>
        <v>1981280</v>
      </c>
    </row>
    <row r="1778" customFormat="false" ht="15" hidden="false" customHeight="false" outlineLevel="0" collapsed="false">
      <c r="A1778" s="27" t="n">
        <v>2025</v>
      </c>
      <c r="B1778" s="27" t="n">
        <v>6</v>
      </c>
      <c r="C1778" s="27" t="s">
        <v>44</v>
      </c>
      <c r="D1778" s="27" t="s">
        <v>28</v>
      </c>
      <c r="E1778" s="27" t="s">
        <v>52</v>
      </c>
      <c r="F1778" s="28" t="n">
        <v>317</v>
      </c>
      <c r="G1778" s="29" t="n">
        <v>4250</v>
      </c>
      <c r="H1778" s="29" t="n">
        <f aca="false">F1778*G1778</f>
        <v>1347250</v>
      </c>
    </row>
    <row r="1779" customFormat="false" ht="15" hidden="false" customHeight="false" outlineLevel="0" collapsed="false">
      <c r="A1779" s="27" t="n">
        <v>2025</v>
      </c>
      <c r="B1779" s="27" t="n">
        <v>6</v>
      </c>
      <c r="C1779" s="27" t="s">
        <v>44</v>
      </c>
      <c r="D1779" s="27" t="s">
        <v>28</v>
      </c>
      <c r="E1779" s="27" t="s">
        <v>54</v>
      </c>
      <c r="F1779" s="28" t="n">
        <v>252</v>
      </c>
      <c r="G1779" s="29" t="n">
        <v>4310</v>
      </c>
      <c r="H1779" s="29" t="n">
        <f aca="false">F1779*G1779</f>
        <v>1086120</v>
      </c>
    </row>
    <row r="1780" customFormat="false" ht="15" hidden="false" customHeight="false" outlineLevel="0" collapsed="false">
      <c r="A1780" s="27" t="n">
        <v>2025</v>
      </c>
      <c r="B1780" s="27" t="n">
        <v>6</v>
      </c>
      <c r="C1780" s="27" t="s">
        <v>44</v>
      </c>
      <c r="D1780" s="27" t="s">
        <v>28</v>
      </c>
      <c r="E1780" s="27" t="s">
        <v>56</v>
      </c>
      <c r="F1780" s="28" t="n">
        <v>283</v>
      </c>
      <c r="G1780" s="29" t="n">
        <v>4340</v>
      </c>
      <c r="H1780" s="29" t="n">
        <f aca="false">F1780*G1780</f>
        <v>1228220</v>
      </c>
    </row>
    <row r="1781" customFormat="false" ht="15" hidden="false" customHeight="false" outlineLevel="0" collapsed="false">
      <c r="A1781" s="27" t="n">
        <v>2025</v>
      </c>
      <c r="B1781" s="27" t="n">
        <v>6</v>
      </c>
      <c r="C1781" s="27" t="s">
        <v>44</v>
      </c>
      <c r="D1781" s="27" t="s">
        <v>28</v>
      </c>
      <c r="E1781" s="27" t="s">
        <v>58</v>
      </c>
      <c r="F1781" s="28" t="n">
        <v>201</v>
      </c>
      <c r="G1781" s="29" t="n">
        <v>4280</v>
      </c>
      <c r="H1781" s="29" t="n">
        <f aca="false">F1781*G1781</f>
        <v>860280</v>
      </c>
    </row>
    <row r="1782" customFormat="false" ht="15" hidden="false" customHeight="false" outlineLevel="0" collapsed="false">
      <c r="A1782" s="27" t="n">
        <v>2025</v>
      </c>
      <c r="B1782" s="27" t="n">
        <v>6</v>
      </c>
      <c r="C1782" s="27" t="s">
        <v>45</v>
      </c>
      <c r="D1782" s="27" t="s">
        <v>22</v>
      </c>
      <c r="E1782" s="27" t="s">
        <v>50</v>
      </c>
      <c r="F1782" s="28" t="n">
        <v>3678</v>
      </c>
      <c r="G1782" s="29" t="n">
        <v>2530</v>
      </c>
      <c r="H1782" s="29" t="n">
        <f aca="false">F1782*G1782</f>
        <v>9305340</v>
      </c>
    </row>
    <row r="1783" customFormat="false" ht="15" hidden="false" customHeight="false" outlineLevel="0" collapsed="false">
      <c r="A1783" s="27" t="n">
        <v>2025</v>
      </c>
      <c r="B1783" s="27" t="n">
        <v>6</v>
      </c>
      <c r="C1783" s="27" t="s">
        <v>45</v>
      </c>
      <c r="D1783" s="27" t="s">
        <v>22</v>
      </c>
      <c r="E1783" s="27" t="s">
        <v>52</v>
      </c>
      <c r="F1783" s="28" t="n">
        <v>2080</v>
      </c>
      <c r="G1783" s="29" t="n">
        <v>2530</v>
      </c>
      <c r="H1783" s="29" t="n">
        <f aca="false">F1783*G1783</f>
        <v>5262400</v>
      </c>
    </row>
    <row r="1784" customFormat="false" ht="15" hidden="false" customHeight="false" outlineLevel="0" collapsed="false">
      <c r="A1784" s="27" t="n">
        <v>2025</v>
      </c>
      <c r="B1784" s="27" t="n">
        <v>6</v>
      </c>
      <c r="C1784" s="27" t="s">
        <v>45</v>
      </c>
      <c r="D1784" s="27" t="s">
        <v>22</v>
      </c>
      <c r="E1784" s="27" t="s">
        <v>54</v>
      </c>
      <c r="F1784" s="28" t="n">
        <v>1898</v>
      </c>
      <c r="G1784" s="29" t="n">
        <v>2570</v>
      </c>
      <c r="H1784" s="29" t="n">
        <f aca="false">F1784*G1784</f>
        <v>4877860</v>
      </c>
    </row>
    <row r="1785" customFormat="false" ht="15" hidden="false" customHeight="false" outlineLevel="0" collapsed="false">
      <c r="A1785" s="27" t="n">
        <v>2025</v>
      </c>
      <c r="B1785" s="27" t="n">
        <v>6</v>
      </c>
      <c r="C1785" s="27" t="s">
        <v>45</v>
      </c>
      <c r="D1785" s="27" t="s">
        <v>22</v>
      </c>
      <c r="E1785" s="27" t="s">
        <v>56</v>
      </c>
      <c r="F1785" s="28" t="n">
        <v>2184</v>
      </c>
      <c r="G1785" s="29" t="n">
        <v>2500</v>
      </c>
      <c r="H1785" s="29" t="n">
        <f aca="false">F1785*G1785</f>
        <v>5460000</v>
      </c>
    </row>
    <row r="1786" customFormat="false" ht="15" hidden="false" customHeight="false" outlineLevel="0" collapsed="false">
      <c r="A1786" s="27" t="n">
        <v>2025</v>
      </c>
      <c r="B1786" s="27" t="n">
        <v>6</v>
      </c>
      <c r="C1786" s="27" t="s">
        <v>45</v>
      </c>
      <c r="D1786" s="27" t="s">
        <v>22</v>
      </c>
      <c r="E1786" s="27" t="s">
        <v>58</v>
      </c>
      <c r="F1786" s="28" t="n">
        <v>1478</v>
      </c>
      <c r="G1786" s="29" t="n">
        <v>2550</v>
      </c>
      <c r="H1786" s="29" t="n">
        <f aca="false">F1786*G1786</f>
        <v>3768900</v>
      </c>
    </row>
    <row r="1787" customFormat="false" ht="15" hidden="false" customHeight="false" outlineLevel="0" collapsed="false">
      <c r="A1787" s="27" t="n">
        <v>2025</v>
      </c>
      <c r="B1787" s="27" t="n">
        <v>6</v>
      </c>
      <c r="C1787" s="27" t="s">
        <v>45</v>
      </c>
      <c r="D1787" s="27" t="s">
        <v>24</v>
      </c>
      <c r="E1787" s="27" t="s">
        <v>50</v>
      </c>
      <c r="F1787" s="28" t="n">
        <v>2131</v>
      </c>
      <c r="G1787" s="29" t="n">
        <v>2370</v>
      </c>
      <c r="H1787" s="29" t="n">
        <f aca="false">F1787*G1787</f>
        <v>5050470</v>
      </c>
    </row>
    <row r="1788" customFormat="false" ht="15" hidden="false" customHeight="false" outlineLevel="0" collapsed="false">
      <c r="A1788" s="27" t="n">
        <v>2025</v>
      </c>
      <c r="B1788" s="27" t="n">
        <v>6</v>
      </c>
      <c r="C1788" s="27" t="s">
        <v>45</v>
      </c>
      <c r="D1788" s="27" t="s">
        <v>24</v>
      </c>
      <c r="E1788" s="27" t="s">
        <v>52</v>
      </c>
      <c r="F1788" s="28" t="n">
        <v>1308</v>
      </c>
      <c r="G1788" s="29" t="n">
        <v>2350</v>
      </c>
      <c r="H1788" s="29" t="n">
        <f aca="false">F1788*G1788</f>
        <v>3073800</v>
      </c>
    </row>
    <row r="1789" customFormat="false" ht="15" hidden="false" customHeight="false" outlineLevel="0" collapsed="false">
      <c r="A1789" s="27" t="n">
        <v>2025</v>
      </c>
      <c r="B1789" s="27" t="n">
        <v>6</v>
      </c>
      <c r="C1789" s="27" t="s">
        <v>45</v>
      </c>
      <c r="D1789" s="27" t="s">
        <v>24</v>
      </c>
      <c r="E1789" s="27" t="s">
        <v>54</v>
      </c>
      <c r="F1789" s="28" t="n">
        <v>997</v>
      </c>
      <c r="G1789" s="29" t="n">
        <v>2310</v>
      </c>
      <c r="H1789" s="29" t="n">
        <f aca="false">F1789*G1789</f>
        <v>2303070</v>
      </c>
    </row>
    <row r="1790" customFormat="false" ht="15" hidden="false" customHeight="false" outlineLevel="0" collapsed="false">
      <c r="A1790" s="27" t="n">
        <v>2025</v>
      </c>
      <c r="B1790" s="27" t="n">
        <v>6</v>
      </c>
      <c r="C1790" s="27" t="s">
        <v>45</v>
      </c>
      <c r="D1790" s="27" t="s">
        <v>24</v>
      </c>
      <c r="E1790" s="27" t="s">
        <v>56</v>
      </c>
      <c r="F1790" s="28" t="n">
        <v>1241</v>
      </c>
      <c r="G1790" s="29" t="n">
        <v>2360</v>
      </c>
      <c r="H1790" s="29" t="n">
        <f aca="false">F1790*G1790</f>
        <v>2928760</v>
      </c>
    </row>
    <row r="1791" customFormat="false" ht="15" hidden="false" customHeight="false" outlineLevel="0" collapsed="false">
      <c r="A1791" s="27" t="n">
        <v>2025</v>
      </c>
      <c r="B1791" s="27" t="n">
        <v>6</v>
      </c>
      <c r="C1791" s="27" t="s">
        <v>45</v>
      </c>
      <c r="D1791" s="27" t="s">
        <v>24</v>
      </c>
      <c r="E1791" s="27" t="s">
        <v>58</v>
      </c>
      <c r="F1791" s="28" t="n">
        <v>858</v>
      </c>
      <c r="G1791" s="29" t="n">
        <v>2320</v>
      </c>
      <c r="H1791" s="29" t="n">
        <f aca="false">F1791*G1791</f>
        <v>1990560</v>
      </c>
    </row>
    <row r="1792" customFormat="false" ht="15" hidden="false" customHeight="false" outlineLevel="0" collapsed="false">
      <c r="A1792" s="27" t="n">
        <v>2025</v>
      </c>
      <c r="B1792" s="27" t="n">
        <v>6</v>
      </c>
      <c r="C1792" s="27" t="s">
        <v>45</v>
      </c>
      <c r="D1792" s="27" t="s">
        <v>26</v>
      </c>
      <c r="E1792" s="27" t="s">
        <v>50</v>
      </c>
      <c r="F1792" s="28" t="n">
        <v>1081</v>
      </c>
      <c r="G1792" s="29" t="n">
        <v>2890</v>
      </c>
      <c r="H1792" s="29" t="n">
        <f aca="false">F1792*G1792</f>
        <v>3124090</v>
      </c>
    </row>
    <row r="1793" customFormat="false" ht="15" hidden="false" customHeight="false" outlineLevel="0" collapsed="false">
      <c r="A1793" s="27" t="n">
        <v>2025</v>
      </c>
      <c r="B1793" s="27" t="n">
        <v>6</v>
      </c>
      <c r="C1793" s="27" t="s">
        <v>45</v>
      </c>
      <c r="D1793" s="27" t="s">
        <v>26</v>
      </c>
      <c r="E1793" s="27" t="s">
        <v>52</v>
      </c>
      <c r="F1793" s="28" t="n">
        <v>657</v>
      </c>
      <c r="G1793" s="29" t="n">
        <v>2830</v>
      </c>
      <c r="H1793" s="29" t="n">
        <f aca="false">F1793*G1793</f>
        <v>1859310</v>
      </c>
    </row>
    <row r="1794" customFormat="false" ht="15" hidden="false" customHeight="false" outlineLevel="0" collapsed="false">
      <c r="A1794" s="27" t="n">
        <v>2025</v>
      </c>
      <c r="B1794" s="27" t="n">
        <v>6</v>
      </c>
      <c r="C1794" s="27" t="s">
        <v>45</v>
      </c>
      <c r="D1794" s="27" t="s">
        <v>26</v>
      </c>
      <c r="E1794" s="27" t="s">
        <v>54</v>
      </c>
      <c r="F1794" s="28" t="n">
        <v>532</v>
      </c>
      <c r="G1794" s="29" t="n">
        <v>2890</v>
      </c>
      <c r="H1794" s="29" t="n">
        <f aca="false">F1794*G1794</f>
        <v>1537480</v>
      </c>
    </row>
    <row r="1795" customFormat="false" ht="15" hidden="false" customHeight="false" outlineLevel="0" collapsed="false">
      <c r="A1795" s="27" t="n">
        <v>2025</v>
      </c>
      <c r="B1795" s="27" t="n">
        <v>6</v>
      </c>
      <c r="C1795" s="27" t="s">
        <v>45</v>
      </c>
      <c r="D1795" s="27" t="s">
        <v>26</v>
      </c>
      <c r="E1795" s="27" t="s">
        <v>56</v>
      </c>
      <c r="F1795" s="28" t="n">
        <v>590</v>
      </c>
      <c r="G1795" s="29" t="n">
        <v>2840</v>
      </c>
      <c r="H1795" s="29" t="n">
        <f aca="false">F1795*G1795</f>
        <v>1675600</v>
      </c>
    </row>
    <row r="1796" customFormat="false" ht="15" hidden="false" customHeight="false" outlineLevel="0" collapsed="false">
      <c r="A1796" s="27" t="n">
        <v>2025</v>
      </c>
      <c r="B1796" s="27" t="n">
        <v>6</v>
      </c>
      <c r="C1796" s="27" t="s">
        <v>45</v>
      </c>
      <c r="D1796" s="27" t="s">
        <v>26</v>
      </c>
      <c r="E1796" s="27" t="s">
        <v>58</v>
      </c>
      <c r="F1796" s="28" t="n">
        <v>408</v>
      </c>
      <c r="G1796" s="29" t="n">
        <v>2820</v>
      </c>
      <c r="H1796" s="29" t="n">
        <f aca="false">F1796*G1796</f>
        <v>1150560</v>
      </c>
    </row>
    <row r="1797" customFormat="false" ht="15" hidden="false" customHeight="false" outlineLevel="0" collapsed="false">
      <c r="A1797" s="27" t="n">
        <v>2025</v>
      </c>
      <c r="B1797" s="27" t="n">
        <v>6</v>
      </c>
      <c r="C1797" s="27" t="s">
        <v>45</v>
      </c>
      <c r="D1797" s="27" t="s">
        <v>28</v>
      </c>
      <c r="E1797" s="27" t="s">
        <v>50</v>
      </c>
      <c r="F1797" s="28" t="n">
        <v>493</v>
      </c>
      <c r="G1797" s="29" t="n">
        <v>2690</v>
      </c>
      <c r="H1797" s="29" t="n">
        <f aca="false">F1797*G1797</f>
        <v>1326170</v>
      </c>
    </row>
    <row r="1798" customFormat="false" ht="15" hidden="false" customHeight="false" outlineLevel="0" collapsed="false">
      <c r="A1798" s="27" t="n">
        <v>2025</v>
      </c>
      <c r="B1798" s="27" t="n">
        <v>6</v>
      </c>
      <c r="C1798" s="27" t="s">
        <v>45</v>
      </c>
      <c r="D1798" s="27" t="s">
        <v>28</v>
      </c>
      <c r="E1798" s="27" t="s">
        <v>52</v>
      </c>
      <c r="F1798" s="28" t="n">
        <v>337</v>
      </c>
      <c r="G1798" s="29" t="n">
        <v>2670</v>
      </c>
      <c r="H1798" s="29" t="n">
        <f aca="false">F1798*G1798</f>
        <v>899790</v>
      </c>
    </row>
    <row r="1799" customFormat="false" ht="15" hidden="false" customHeight="false" outlineLevel="0" collapsed="false">
      <c r="A1799" s="27" t="n">
        <v>2025</v>
      </c>
      <c r="B1799" s="27" t="n">
        <v>6</v>
      </c>
      <c r="C1799" s="27" t="s">
        <v>45</v>
      </c>
      <c r="D1799" s="27" t="s">
        <v>28</v>
      </c>
      <c r="E1799" s="27" t="s">
        <v>54</v>
      </c>
      <c r="F1799" s="28" t="n">
        <v>242</v>
      </c>
      <c r="G1799" s="29" t="n">
        <v>2720</v>
      </c>
      <c r="H1799" s="29" t="n">
        <f aca="false">F1799*G1799</f>
        <v>658240</v>
      </c>
    </row>
    <row r="1800" customFormat="false" ht="15" hidden="false" customHeight="false" outlineLevel="0" collapsed="false">
      <c r="A1800" s="27" t="n">
        <v>2025</v>
      </c>
      <c r="B1800" s="27" t="n">
        <v>6</v>
      </c>
      <c r="C1800" s="27" t="s">
        <v>45</v>
      </c>
      <c r="D1800" s="27" t="s">
        <v>28</v>
      </c>
      <c r="E1800" s="27" t="s">
        <v>56</v>
      </c>
      <c r="F1800" s="28" t="n">
        <v>287</v>
      </c>
      <c r="G1800" s="29" t="n">
        <v>2640</v>
      </c>
      <c r="H1800" s="29" t="n">
        <f aca="false">F1800*G1800</f>
        <v>757680</v>
      </c>
    </row>
    <row r="1801" customFormat="false" ht="15" hidden="false" customHeight="false" outlineLevel="0" collapsed="false">
      <c r="A1801" s="27" t="n">
        <v>2025</v>
      </c>
      <c r="B1801" s="27" t="n">
        <v>6</v>
      </c>
      <c r="C1801" s="27" t="s">
        <v>45</v>
      </c>
      <c r="D1801" s="27" t="s">
        <v>28</v>
      </c>
      <c r="E1801" s="27" t="s">
        <v>58</v>
      </c>
      <c r="F1801" s="28" t="n">
        <v>183</v>
      </c>
      <c r="G1801" s="29" t="n">
        <v>2700</v>
      </c>
      <c r="H1801" s="29" t="n">
        <f aca="false">F1801*G1801</f>
        <v>494100</v>
      </c>
    </row>
    <row r="1802" customFormat="false" ht="15" hidden="false" customHeight="false" outlineLevel="0" collapsed="false">
      <c r="A1802" s="27" t="n">
        <v>2025</v>
      </c>
      <c r="B1802" s="27" t="n">
        <v>7</v>
      </c>
      <c r="C1802" s="27" t="s">
        <v>38</v>
      </c>
      <c r="D1802" s="27" t="s">
        <v>22</v>
      </c>
      <c r="E1802" s="27" t="s">
        <v>50</v>
      </c>
      <c r="F1802" s="28" t="n">
        <v>9752</v>
      </c>
      <c r="G1802" s="29" t="n">
        <v>2810</v>
      </c>
      <c r="H1802" s="29" t="n">
        <f aca="false">F1802*G1802</f>
        <v>27403120</v>
      </c>
    </row>
    <row r="1803" customFormat="false" ht="15" hidden="false" customHeight="false" outlineLevel="0" collapsed="false">
      <c r="A1803" s="27" t="n">
        <v>2025</v>
      </c>
      <c r="B1803" s="27" t="n">
        <v>7</v>
      </c>
      <c r="C1803" s="27" t="s">
        <v>38</v>
      </c>
      <c r="D1803" s="27" t="s">
        <v>22</v>
      </c>
      <c r="E1803" s="27" t="s">
        <v>52</v>
      </c>
      <c r="F1803" s="28" t="n">
        <v>5410</v>
      </c>
      <c r="G1803" s="29" t="n">
        <v>2780</v>
      </c>
      <c r="H1803" s="29" t="n">
        <f aca="false">F1803*G1803</f>
        <v>15039800</v>
      </c>
    </row>
    <row r="1804" customFormat="false" ht="15" hidden="false" customHeight="false" outlineLevel="0" collapsed="false">
      <c r="A1804" s="27" t="n">
        <v>2025</v>
      </c>
      <c r="B1804" s="27" t="n">
        <v>7</v>
      </c>
      <c r="C1804" s="27" t="s">
        <v>38</v>
      </c>
      <c r="D1804" s="27" t="s">
        <v>22</v>
      </c>
      <c r="E1804" s="27" t="s">
        <v>54</v>
      </c>
      <c r="F1804" s="28" t="n">
        <v>4667</v>
      </c>
      <c r="G1804" s="29" t="n">
        <v>2770</v>
      </c>
      <c r="H1804" s="29" t="n">
        <f aca="false">F1804*G1804</f>
        <v>12927590</v>
      </c>
    </row>
    <row r="1805" customFormat="false" ht="15" hidden="false" customHeight="false" outlineLevel="0" collapsed="false">
      <c r="A1805" s="27" t="n">
        <v>2025</v>
      </c>
      <c r="B1805" s="27" t="n">
        <v>7</v>
      </c>
      <c r="C1805" s="27" t="s">
        <v>38</v>
      </c>
      <c r="D1805" s="27" t="s">
        <v>22</v>
      </c>
      <c r="E1805" s="27" t="s">
        <v>56</v>
      </c>
      <c r="F1805" s="28" t="n">
        <v>5068</v>
      </c>
      <c r="G1805" s="29" t="n">
        <v>2780</v>
      </c>
      <c r="H1805" s="29" t="n">
        <f aca="false">F1805*G1805</f>
        <v>14089040</v>
      </c>
    </row>
    <row r="1806" customFormat="false" ht="15" hidden="false" customHeight="false" outlineLevel="0" collapsed="false">
      <c r="A1806" s="27" t="n">
        <v>2025</v>
      </c>
      <c r="B1806" s="27" t="n">
        <v>7</v>
      </c>
      <c r="C1806" s="27" t="s">
        <v>38</v>
      </c>
      <c r="D1806" s="27" t="s">
        <v>22</v>
      </c>
      <c r="E1806" s="27" t="s">
        <v>58</v>
      </c>
      <c r="F1806" s="28" t="n">
        <v>3928</v>
      </c>
      <c r="G1806" s="29" t="n">
        <v>2740</v>
      </c>
      <c r="H1806" s="29" t="n">
        <f aca="false">F1806*G1806</f>
        <v>10762720</v>
      </c>
    </row>
    <row r="1807" customFormat="false" ht="15" hidden="false" customHeight="false" outlineLevel="0" collapsed="false">
      <c r="A1807" s="27" t="n">
        <v>2025</v>
      </c>
      <c r="B1807" s="27" t="n">
        <v>7</v>
      </c>
      <c r="C1807" s="27" t="s">
        <v>38</v>
      </c>
      <c r="D1807" s="27" t="s">
        <v>24</v>
      </c>
      <c r="E1807" s="27" t="s">
        <v>50</v>
      </c>
      <c r="F1807" s="28" t="n">
        <v>5559</v>
      </c>
      <c r="G1807" s="29" t="n">
        <v>2530</v>
      </c>
      <c r="H1807" s="29" t="n">
        <f aca="false">F1807*G1807</f>
        <v>14064270</v>
      </c>
    </row>
    <row r="1808" customFormat="false" ht="15" hidden="false" customHeight="false" outlineLevel="0" collapsed="false">
      <c r="A1808" s="27" t="n">
        <v>2025</v>
      </c>
      <c r="B1808" s="27" t="n">
        <v>7</v>
      </c>
      <c r="C1808" s="27" t="s">
        <v>38</v>
      </c>
      <c r="D1808" s="27" t="s">
        <v>24</v>
      </c>
      <c r="E1808" s="27" t="s">
        <v>52</v>
      </c>
      <c r="F1808" s="28" t="n">
        <v>3268</v>
      </c>
      <c r="G1808" s="29" t="n">
        <v>2540</v>
      </c>
      <c r="H1808" s="29" t="n">
        <f aca="false">F1808*G1808</f>
        <v>8300720</v>
      </c>
    </row>
    <row r="1809" customFormat="false" ht="15" hidden="false" customHeight="false" outlineLevel="0" collapsed="false">
      <c r="A1809" s="27" t="n">
        <v>2025</v>
      </c>
      <c r="B1809" s="27" t="n">
        <v>7</v>
      </c>
      <c r="C1809" s="27" t="s">
        <v>38</v>
      </c>
      <c r="D1809" s="27" t="s">
        <v>24</v>
      </c>
      <c r="E1809" s="27" t="s">
        <v>54</v>
      </c>
      <c r="F1809" s="28" t="n">
        <v>2443</v>
      </c>
      <c r="G1809" s="29" t="n">
        <v>2570</v>
      </c>
      <c r="H1809" s="29" t="n">
        <f aca="false">F1809*G1809</f>
        <v>6278510</v>
      </c>
    </row>
    <row r="1810" customFormat="false" ht="15" hidden="false" customHeight="false" outlineLevel="0" collapsed="false">
      <c r="A1810" s="27" t="n">
        <v>2025</v>
      </c>
      <c r="B1810" s="27" t="n">
        <v>7</v>
      </c>
      <c r="C1810" s="27" t="s">
        <v>38</v>
      </c>
      <c r="D1810" s="27" t="s">
        <v>24</v>
      </c>
      <c r="E1810" s="27" t="s">
        <v>56</v>
      </c>
      <c r="F1810" s="28" t="n">
        <v>3388</v>
      </c>
      <c r="G1810" s="29" t="n">
        <v>2530</v>
      </c>
      <c r="H1810" s="29" t="n">
        <f aca="false">F1810*G1810</f>
        <v>8571640</v>
      </c>
    </row>
    <row r="1811" customFormat="false" ht="15" hidden="false" customHeight="false" outlineLevel="0" collapsed="false">
      <c r="A1811" s="27" t="n">
        <v>2025</v>
      </c>
      <c r="B1811" s="27" t="n">
        <v>7</v>
      </c>
      <c r="C1811" s="27" t="s">
        <v>38</v>
      </c>
      <c r="D1811" s="27" t="s">
        <v>24</v>
      </c>
      <c r="E1811" s="27" t="s">
        <v>58</v>
      </c>
      <c r="F1811" s="28" t="n">
        <v>2226</v>
      </c>
      <c r="G1811" s="29" t="n">
        <v>2540</v>
      </c>
      <c r="H1811" s="29" t="n">
        <f aca="false">F1811*G1811</f>
        <v>5654040</v>
      </c>
    </row>
    <row r="1812" customFormat="false" ht="15" hidden="false" customHeight="false" outlineLevel="0" collapsed="false">
      <c r="A1812" s="27" t="n">
        <v>2025</v>
      </c>
      <c r="B1812" s="27" t="n">
        <v>7</v>
      </c>
      <c r="C1812" s="27" t="s">
        <v>38</v>
      </c>
      <c r="D1812" s="27" t="s">
        <v>26</v>
      </c>
      <c r="E1812" s="27" t="s">
        <v>50</v>
      </c>
      <c r="F1812" s="28" t="n">
        <v>2788</v>
      </c>
      <c r="G1812" s="29" t="n">
        <v>3050</v>
      </c>
      <c r="H1812" s="29" t="n">
        <f aca="false">F1812*G1812</f>
        <v>8503400</v>
      </c>
    </row>
    <row r="1813" customFormat="false" ht="15" hidden="false" customHeight="false" outlineLevel="0" collapsed="false">
      <c r="A1813" s="27" t="n">
        <v>2025</v>
      </c>
      <c r="B1813" s="27" t="n">
        <v>7</v>
      </c>
      <c r="C1813" s="27" t="s">
        <v>38</v>
      </c>
      <c r="D1813" s="27" t="s">
        <v>26</v>
      </c>
      <c r="E1813" s="27" t="s">
        <v>52</v>
      </c>
      <c r="F1813" s="28" t="n">
        <v>1638</v>
      </c>
      <c r="G1813" s="29" t="n">
        <v>3100</v>
      </c>
      <c r="H1813" s="29" t="n">
        <f aca="false">F1813*G1813</f>
        <v>5077800</v>
      </c>
    </row>
    <row r="1814" customFormat="false" ht="15" hidden="false" customHeight="false" outlineLevel="0" collapsed="false">
      <c r="A1814" s="27" t="n">
        <v>2025</v>
      </c>
      <c r="B1814" s="27" t="n">
        <v>7</v>
      </c>
      <c r="C1814" s="27" t="s">
        <v>38</v>
      </c>
      <c r="D1814" s="27" t="s">
        <v>26</v>
      </c>
      <c r="E1814" s="27" t="s">
        <v>54</v>
      </c>
      <c r="F1814" s="28" t="n">
        <v>1367</v>
      </c>
      <c r="G1814" s="29" t="n">
        <v>3130</v>
      </c>
      <c r="H1814" s="29" t="n">
        <f aca="false">F1814*G1814</f>
        <v>4278710</v>
      </c>
    </row>
    <row r="1815" customFormat="false" ht="15" hidden="false" customHeight="false" outlineLevel="0" collapsed="false">
      <c r="A1815" s="27" t="n">
        <v>2025</v>
      </c>
      <c r="B1815" s="27" t="n">
        <v>7</v>
      </c>
      <c r="C1815" s="27" t="s">
        <v>38</v>
      </c>
      <c r="D1815" s="27" t="s">
        <v>26</v>
      </c>
      <c r="E1815" s="27" t="s">
        <v>56</v>
      </c>
      <c r="F1815" s="28" t="n">
        <v>1632</v>
      </c>
      <c r="G1815" s="29" t="n">
        <v>3040</v>
      </c>
      <c r="H1815" s="29" t="n">
        <f aca="false">F1815*G1815</f>
        <v>4961280</v>
      </c>
    </row>
    <row r="1816" customFormat="false" ht="15" hidden="false" customHeight="false" outlineLevel="0" collapsed="false">
      <c r="A1816" s="27" t="n">
        <v>2025</v>
      </c>
      <c r="B1816" s="27" t="n">
        <v>7</v>
      </c>
      <c r="C1816" s="27" t="s">
        <v>38</v>
      </c>
      <c r="D1816" s="27" t="s">
        <v>26</v>
      </c>
      <c r="E1816" s="27" t="s">
        <v>58</v>
      </c>
      <c r="F1816" s="28" t="n">
        <v>1183</v>
      </c>
      <c r="G1816" s="29" t="n">
        <v>3090</v>
      </c>
      <c r="H1816" s="29" t="n">
        <f aca="false">F1816*G1816</f>
        <v>3655470</v>
      </c>
    </row>
    <row r="1817" customFormat="false" ht="15" hidden="false" customHeight="false" outlineLevel="0" collapsed="false">
      <c r="A1817" s="27" t="n">
        <v>2025</v>
      </c>
      <c r="B1817" s="27" t="n">
        <v>7</v>
      </c>
      <c r="C1817" s="27" t="s">
        <v>38</v>
      </c>
      <c r="D1817" s="27" t="s">
        <v>28</v>
      </c>
      <c r="E1817" s="27" t="s">
        <v>50</v>
      </c>
      <c r="F1817" s="28" t="n">
        <v>1342</v>
      </c>
      <c r="G1817" s="29" t="n">
        <v>2910</v>
      </c>
      <c r="H1817" s="29" t="n">
        <f aca="false">F1817*G1817</f>
        <v>3905220</v>
      </c>
    </row>
    <row r="1818" customFormat="false" ht="15" hidden="false" customHeight="false" outlineLevel="0" collapsed="false">
      <c r="A1818" s="27" t="n">
        <v>2025</v>
      </c>
      <c r="B1818" s="27" t="n">
        <v>7</v>
      </c>
      <c r="C1818" s="27" t="s">
        <v>38</v>
      </c>
      <c r="D1818" s="27" t="s">
        <v>28</v>
      </c>
      <c r="E1818" s="27" t="s">
        <v>52</v>
      </c>
      <c r="F1818" s="28" t="n">
        <v>783</v>
      </c>
      <c r="G1818" s="29" t="n">
        <v>2880</v>
      </c>
      <c r="H1818" s="29" t="n">
        <f aca="false">F1818*G1818</f>
        <v>2255040</v>
      </c>
    </row>
    <row r="1819" customFormat="false" ht="15" hidden="false" customHeight="false" outlineLevel="0" collapsed="false">
      <c r="A1819" s="27" t="n">
        <v>2025</v>
      </c>
      <c r="B1819" s="27" t="n">
        <v>7</v>
      </c>
      <c r="C1819" s="27" t="s">
        <v>38</v>
      </c>
      <c r="D1819" s="27" t="s">
        <v>28</v>
      </c>
      <c r="E1819" s="27" t="s">
        <v>54</v>
      </c>
      <c r="F1819" s="28" t="n">
        <v>642</v>
      </c>
      <c r="G1819" s="29" t="n">
        <v>2840</v>
      </c>
      <c r="H1819" s="29" t="n">
        <f aca="false">F1819*G1819</f>
        <v>1823280</v>
      </c>
    </row>
    <row r="1820" customFormat="false" ht="15" hidden="false" customHeight="false" outlineLevel="0" collapsed="false">
      <c r="A1820" s="27" t="n">
        <v>2025</v>
      </c>
      <c r="B1820" s="27" t="n">
        <v>7</v>
      </c>
      <c r="C1820" s="27" t="s">
        <v>38</v>
      </c>
      <c r="D1820" s="27" t="s">
        <v>28</v>
      </c>
      <c r="E1820" s="27" t="s">
        <v>56</v>
      </c>
      <c r="F1820" s="28" t="n">
        <v>759</v>
      </c>
      <c r="G1820" s="29" t="n">
        <v>2920</v>
      </c>
      <c r="H1820" s="29" t="n">
        <f aca="false">F1820*G1820</f>
        <v>2216280</v>
      </c>
    </row>
    <row r="1821" customFormat="false" ht="15" hidden="false" customHeight="false" outlineLevel="0" collapsed="false">
      <c r="A1821" s="27" t="n">
        <v>2025</v>
      </c>
      <c r="B1821" s="27" t="n">
        <v>7</v>
      </c>
      <c r="C1821" s="27" t="s">
        <v>38</v>
      </c>
      <c r="D1821" s="27" t="s">
        <v>28</v>
      </c>
      <c r="E1821" s="27" t="s">
        <v>58</v>
      </c>
      <c r="F1821" s="28" t="n">
        <v>532</v>
      </c>
      <c r="G1821" s="29" t="n">
        <v>2840</v>
      </c>
      <c r="H1821" s="29" t="n">
        <f aca="false">F1821*G1821</f>
        <v>1510880</v>
      </c>
    </row>
    <row r="1822" customFormat="false" ht="15" hidden="false" customHeight="false" outlineLevel="0" collapsed="false">
      <c r="A1822" s="27" t="n">
        <v>2025</v>
      </c>
      <c r="B1822" s="27" t="n">
        <v>7</v>
      </c>
      <c r="C1822" s="27" t="s">
        <v>40</v>
      </c>
      <c r="D1822" s="27" t="s">
        <v>22</v>
      </c>
      <c r="E1822" s="27" t="s">
        <v>50</v>
      </c>
      <c r="F1822" s="28" t="n">
        <v>4380</v>
      </c>
      <c r="G1822" s="29" t="n">
        <v>2470</v>
      </c>
      <c r="H1822" s="29" t="n">
        <f aca="false">F1822*G1822</f>
        <v>10818600</v>
      </c>
    </row>
    <row r="1823" customFormat="false" ht="15" hidden="false" customHeight="false" outlineLevel="0" collapsed="false">
      <c r="A1823" s="27" t="n">
        <v>2025</v>
      </c>
      <c r="B1823" s="27" t="n">
        <v>7</v>
      </c>
      <c r="C1823" s="27" t="s">
        <v>40</v>
      </c>
      <c r="D1823" s="27" t="s">
        <v>22</v>
      </c>
      <c r="E1823" s="27" t="s">
        <v>52</v>
      </c>
      <c r="F1823" s="28" t="n">
        <v>2955</v>
      </c>
      <c r="G1823" s="29" t="n">
        <v>2410</v>
      </c>
      <c r="H1823" s="29" t="n">
        <f aca="false">F1823*G1823</f>
        <v>7121550</v>
      </c>
    </row>
    <row r="1824" customFormat="false" ht="15" hidden="false" customHeight="false" outlineLevel="0" collapsed="false">
      <c r="A1824" s="27" t="n">
        <v>2025</v>
      </c>
      <c r="B1824" s="27" t="n">
        <v>7</v>
      </c>
      <c r="C1824" s="27" t="s">
        <v>40</v>
      </c>
      <c r="D1824" s="27" t="s">
        <v>22</v>
      </c>
      <c r="E1824" s="27" t="s">
        <v>54</v>
      </c>
      <c r="F1824" s="28" t="n">
        <v>2342</v>
      </c>
      <c r="G1824" s="29" t="n">
        <v>2390</v>
      </c>
      <c r="H1824" s="29" t="n">
        <f aca="false">F1824*G1824</f>
        <v>5597380</v>
      </c>
    </row>
    <row r="1825" customFormat="false" ht="15" hidden="false" customHeight="false" outlineLevel="0" collapsed="false">
      <c r="A1825" s="27" t="n">
        <v>2025</v>
      </c>
      <c r="B1825" s="27" t="n">
        <v>7</v>
      </c>
      <c r="C1825" s="27" t="s">
        <v>40</v>
      </c>
      <c r="D1825" s="27" t="s">
        <v>22</v>
      </c>
      <c r="E1825" s="27" t="s">
        <v>56</v>
      </c>
      <c r="F1825" s="28" t="n">
        <v>3021</v>
      </c>
      <c r="G1825" s="29" t="n">
        <v>2420</v>
      </c>
      <c r="H1825" s="29" t="n">
        <f aca="false">F1825*G1825</f>
        <v>7310820</v>
      </c>
    </row>
    <row r="1826" customFormat="false" ht="15" hidden="false" customHeight="false" outlineLevel="0" collapsed="false">
      <c r="A1826" s="27" t="n">
        <v>2025</v>
      </c>
      <c r="B1826" s="27" t="n">
        <v>7</v>
      </c>
      <c r="C1826" s="27" t="s">
        <v>40</v>
      </c>
      <c r="D1826" s="27" t="s">
        <v>22</v>
      </c>
      <c r="E1826" s="27" t="s">
        <v>58</v>
      </c>
      <c r="F1826" s="28" t="n">
        <v>2061</v>
      </c>
      <c r="G1826" s="29" t="n">
        <v>2430</v>
      </c>
      <c r="H1826" s="29" t="n">
        <f aca="false">F1826*G1826</f>
        <v>5008230</v>
      </c>
    </row>
    <row r="1827" customFormat="false" ht="15" hidden="false" customHeight="false" outlineLevel="0" collapsed="false">
      <c r="A1827" s="27" t="n">
        <v>2025</v>
      </c>
      <c r="B1827" s="27" t="n">
        <v>7</v>
      </c>
      <c r="C1827" s="27" t="s">
        <v>40</v>
      </c>
      <c r="D1827" s="27" t="s">
        <v>24</v>
      </c>
      <c r="E1827" s="27" t="s">
        <v>50</v>
      </c>
      <c r="F1827" s="28" t="n">
        <v>2946</v>
      </c>
      <c r="G1827" s="29" t="n">
        <v>2260</v>
      </c>
      <c r="H1827" s="29" t="n">
        <f aca="false">F1827*G1827</f>
        <v>6657960</v>
      </c>
    </row>
    <row r="1828" customFormat="false" ht="15" hidden="false" customHeight="false" outlineLevel="0" collapsed="false">
      <c r="A1828" s="27" t="n">
        <v>2025</v>
      </c>
      <c r="B1828" s="27" t="n">
        <v>7</v>
      </c>
      <c r="C1828" s="27" t="s">
        <v>40</v>
      </c>
      <c r="D1828" s="27" t="s">
        <v>24</v>
      </c>
      <c r="E1828" s="27" t="s">
        <v>52</v>
      </c>
      <c r="F1828" s="28" t="n">
        <v>1792</v>
      </c>
      <c r="G1828" s="29" t="n">
        <v>2270</v>
      </c>
      <c r="H1828" s="29" t="n">
        <f aca="false">F1828*G1828</f>
        <v>4067840</v>
      </c>
    </row>
    <row r="1829" customFormat="false" ht="15" hidden="false" customHeight="false" outlineLevel="0" collapsed="false">
      <c r="A1829" s="27" t="n">
        <v>2025</v>
      </c>
      <c r="B1829" s="27" t="n">
        <v>7</v>
      </c>
      <c r="C1829" s="27" t="s">
        <v>40</v>
      </c>
      <c r="D1829" s="27" t="s">
        <v>24</v>
      </c>
      <c r="E1829" s="27" t="s">
        <v>54</v>
      </c>
      <c r="F1829" s="28" t="n">
        <v>1418</v>
      </c>
      <c r="G1829" s="29" t="n">
        <v>2260</v>
      </c>
      <c r="H1829" s="29" t="n">
        <f aca="false">F1829*G1829</f>
        <v>3204680</v>
      </c>
    </row>
    <row r="1830" customFormat="false" ht="15" hidden="false" customHeight="false" outlineLevel="0" collapsed="false">
      <c r="A1830" s="27" t="n">
        <v>2025</v>
      </c>
      <c r="B1830" s="27" t="n">
        <v>7</v>
      </c>
      <c r="C1830" s="27" t="s">
        <v>40</v>
      </c>
      <c r="D1830" s="27" t="s">
        <v>24</v>
      </c>
      <c r="E1830" s="27" t="s">
        <v>56</v>
      </c>
      <c r="F1830" s="28" t="n">
        <v>1614</v>
      </c>
      <c r="G1830" s="29" t="n">
        <v>2300</v>
      </c>
      <c r="H1830" s="29" t="n">
        <f aca="false">F1830*G1830</f>
        <v>3712200</v>
      </c>
    </row>
    <row r="1831" customFormat="false" ht="15" hidden="false" customHeight="false" outlineLevel="0" collapsed="false">
      <c r="A1831" s="27" t="n">
        <v>2025</v>
      </c>
      <c r="B1831" s="27" t="n">
        <v>7</v>
      </c>
      <c r="C1831" s="27" t="s">
        <v>40</v>
      </c>
      <c r="D1831" s="27" t="s">
        <v>24</v>
      </c>
      <c r="E1831" s="27" t="s">
        <v>58</v>
      </c>
      <c r="F1831" s="28" t="n">
        <v>1066</v>
      </c>
      <c r="G1831" s="29" t="n">
        <v>2260</v>
      </c>
      <c r="H1831" s="29" t="n">
        <f aca="false">F1831*G1831</f>
        <v>2409160</v>
      </c>
    </row>
    <row r="1832" customFormat="false" ht="15" hidden="false" customHeight="false" outlineLevel="0" collapsed="false">
      <c r="A1832" s="27" t="n">
        <v>2025</v>
      </c>
      <c r="B1832" s="27" t="n">
        <v>7</v>
      </c>
      <c r="C1832" s="27" t="s">
        <v>40</v>
      </c>
      <c r="D1832" s="27" t="s">
        <v>26</v>
      </c>
      <c r="E1832" s="27" t="s">
        <v>50</v>
      </c>
      <c r="F1832" s="28" t="n">
        <v>1401</v>
      </c>
      <c r="G1832" s="29" t="n">
        <v>2730</v>
      </c>
      <c r="H1832" s="29" t="n">
        <f aca="false">F1832*G1832</f>
        <v>3824730</v>
      </c>
    </row>
    <row r="1833" customFormat="false" ht="15" hidden="false" customHeight="false" outlineLevel="0" collapsed="false">
      <c r="A1833" s="27" t="n">
        <v>2025</v>
      </c>
      <c r="B1833" s="27" t="n">
        <v>7</v>
      </c>
      <c r="C1833" s="27" t="s">
        <v>40</v>
      </c>
      <c r="D1833" s="27" t="s">
        <v>26</v>
      </c>
      <c r="E1833" s="27" t="s">
        <v>52</v>
      </c>
      <c r="F1833" s="28" t="n">
        <v>856</v>
      </c>
      <c r="G1833" s="29" t="n">
        <v>2730</v>
      </c>
      <c r="H1833" s="29" t="n">
        <f aca="false">F1833*G1833</f>
        <v>2336880</v>
      </c>
    </row>
    <row r="1834" customFormat="false" ht="15" hidden="false" customHeight="false" outlineLevel="0" collapsed="false">
      <c r="A1834" s="27" t="n">
        <v>2025</v>
      </c>
      <c r="B1834" s="27" t="n">
        <v>7</v>
      </c>
      <c r="C1834" s="27" t="s">
        <v>40</v>
      </c>
      <c r="D1834" s="27" t="s">
        <v>26</v>
      </c>
      <c r="E1834" s="27" t="s">
        <v>54</v>
      </c>
      <c r="F1834" s="28" t="n">
        <v>694</v>
      </c>
      <c r="G1834" s="29" t="n">
        <v>2670</v>
      </c>
      <c r="H1834" s="29" t="n">
        <f aca="false">F1834*G1834</f>
        <v>1852980</v>
      </c>
    </row>
    <row r="1835" customFormat="false" ht="15" hidden="false" customHeight="false" outlineLevel="0" collapsed="false">
      <c r="A1835" s="27" t="n">
        <v>2025</v>
      </c>
      <c r="B1835" s="27" t="n">
        <v>7</v>
      </c>
      <c r="C1835" s="27" t="s">
        <v>40</v>
      </c>
      <c r="D1835" s="27" t="s">
        <v>26</v>
      </c>
      <c r="E1835" s="27" t="s">
        <v>56</v>
      </c>
      <c r="F1835" s="28" t="n">
        <v>832</v>
      </c>
      <c r="G1835" s="29" t="n">
        <v>2690</v>
      </c>
      <c r="H1835" s="29" t="n">
        <f aca="false">F1835*G1835</f>
        <v>2238080</v>
      </c>
    </row>
    <row r="1836" customFormat="false" ht="15" hidden="false" customHeight="false" outlineLevel="0" collapsed="false">
      <c r="A1836" s="27" t="n">
        <v>2025</v>
      </c>
      <c r="B1836" s="27" t="n">
        <v>7</v>
      </c>
      <c r="C1836" s="27" t="s">
        <v>40</v>
      </c>
      <c r="D1836" s="27" t="s">
        <v>26</v>
      </c>
      <c r="E1836" s="27" t="s">
        <v>58</v>
      </c>
      <c r="F1836" s="28" t="n">
        <v>520</v>
      </c>
      <c r="G1836" s="29" t="n">
        <v>2720</v>
      </c>
      <c r="H1836" s="29" t="n">
        <f aca="false">F1836*G1836</f>
        <v>1414400</v>
      </c>
    </row>
    <row r="1837" customFormat="false" ht="15" hidden="false" customHeight="false" outlineLevel="0" collapsed="false">
      <c r="A1837" s="27" t="n">
        <v>2025</v>
      </c>
      <c r="B1837" s="27" t="n">
        <v>7</v>
      </c>
      <c r="C1837" s="27" t="s">
        <v>40</v>
      </c>
      <c r="D1837" s="27" t="s">
        <v>28</v>
      </c>
      <c r="E1837" s="27" t="s">
        <v>50</v>
      </c>
      <c r="F1837" s="28" t="n">
        <v>677</v>
      </c>
      <c r="G1837" s="29" t="n">
        <v>2560</v>
      </c>
      <c r="H1837" s="29" t="n">
        <f aca="false">F1837*G1837</f>
        <v>1733120</v>
      </c>
    </row>
    <row r="1838" customFormat="false" ht="15" hidden="false" customHeight="false" outlineLevel="0" collapsed="false">
      <c r="A1838" s="27" t="n">
        <v>2025</v>
      </c>
      <c r="B1838" s="27" t="n">
        <v>7</v>
      </c>
      <c r="C1838" s="27" t="s">
        <v>40</v>
      </c>
      <c r="D1838" s="27" t="s">
        <v>28</v>
      </c>
      <c r="E1838" s="27" t="s">
        <v>52</v>
      </c>
      <c r="F1838" s="28" t="n">
        <v>425</v>
      </c>
      <c r="G1838" s="29" t="n">
        <v>2500</v>
      </c>
      <c r="H1838" s="29" t="n">
        <f aca="false">F1838*G1838</f>
        <v>1062500</v>
      </c>
    </row>
    <row r="1839" customFormat="false" ht="15" hidden="false" customHeight="false" outlineLevel="0" collapsed="false">
      <c r="A1839" s="27" t="n">
        <v>2025</v>
      </c>
      <c r="B1839" s="27" t="n">
        <v>7</v>
      </c>
      <c r="C1839" s="27" t="s">
        <v>40</v>
      </c>
      <c r="D1839" s="27" t="s">
        <v>28</v>
      </c>
      <c r="E1839" s="27" t="s">
        <v>54</v>
      </c>
      <c r="F1839" s="28" t="n">
        <v>308</v>
      </c>
      <c r="G1839" s="29" t="n">
        <v>2600</v>
      </c>
      <c r="H1839" s="29" t="n">
        <f aca="false">F1839*G1839</f>
        <v>800800</v>
      </c>
    </row>
    <row r="1840" customFormat="false" ht="15" hidden="false" customHeight="false" outlineLevel="0" collapsed="false">
      <c r="A1840" s="27" t="n">
        <v>2025</v>
      </c>
      <c r="B1840" s="27" t="n">
        <v>7</v>
      </c>
      <c r="C1840" s="27" t="s">
        <v>40</v>
      </c>
      <c r="D1840" s="27" t="s">
        <v>28</v>
      </c>
      <c r="E1840" s="27" t="s">
        <v>56</v>
      </c>
      <c r="F1840" s="28" t="n">
        <v>372</v>
      </c>
      <c r="G1840" s="29" t="n">
        <v>2560</v>
      </c>
      <c r="H1840" s="29" t="n">
        <f aca="false">F1840*G1840</f>
        <v>952320</v>
      </c>
    </row>
    <row r="1841" customFormat="false" ht="15" hidden="false" customHeight="false" outlineLevel="0" collapsed="false">
      <c r="A1841" s="27" t="n">
        <v>2025</v>
      </c>
      <c r="B1841" s="27" t="n">
        <v>7</v>
      </c>
      <c r="C1841" s="27" t="s">
        <v>40</v>
      </c>
      <c r="D1841" s="27" t="s">
        <v>28</v>
      </c>
      <c r="E1841" s="27" t="s">
        <v>58</v>
      </c>
      <c r="F1841" s="28" t="n">
        <v>259</v>
      </c>
      <c r="G1841" s="29" t="n">
        <v>2550</v>
      </c>
      <c r="H1841" s="29" t="n">
        <f aca="false">F1841*G1841</f>
        <v>660450</v>
      </c>
    </row>
    <row r="1842" customFormat="false" ht="15" hidden="false" customHeight="false" outlineLevel="0" collapsed="false">
      <c r="A1842" s="27" t="n">
        <v>2025</v>
      </c>
      <c r="B1842" s="27" t="n">
        <v>7</v>
      </c>
      <c r="C1842" s="27" t="s">
        <v>42</v>
      </c>
      <c r="D1842" s="27" t="s">
        <v>22</v>
      </c>
      <c r="E1842" s="27" t="s">
        <v>50</v>
      </c>
      <c r="F1842" s="28" t="n">
        <v>5100</v>
      </c>
      <c r="G1842" s="29" t="n">
        <v>2230</v>
      </c>
      <c r="H1842" s="29" t="n">
        <f aca="false">F1842*G1842</f>
        <v>11373000</v>
      </c>
    </row>
    <row r="1843" customFormat="false" ht="15" hidden="false" customHeight="false" outlineLevel="0" collapsed="false">
      <c r="A1843" s="27" t="n">
        <v>2025</v>
      </c>
      <c r="B1843" s="27" t="n">
        <v>7</v>
      </c>
      <c r="C1843" s="27" t="s">
        <v>42</v>
      </c>
      <c r="D1843" s="27" t="s">
        <v>22</v>
      </c>
      <c r="E1843" s="27" t="s">
        <v>52</v>
      </c>
      <c r="F1843" s="28" t="n">
        <v>3314</v>
      </c>
      <c r="G1843" s="29" t="n">
        <v>2210</v>
      </c>
      <c r="H1843" s="29" t="n">
        <f aca="false">F1843*G1843</f>
        <v>7323940</v>
      </c>
    </row>
    <row r="1844" customFormat="false" ht="15" hidden="false" customHeight="false" outlineLevel="0" collapsed="false">
      <c r="A1844" s="27" t="n">
        <v>2025</v>
      </c>
      <c r="B1844" s="27" t="n">
        <v>7</v>
      </c>
      <c r="C1844" s="27" t="s">
        <v>42</v>
      </c>
      <c r="D1844" s="27" t="s">
        <v>22</v>
      </c>
      <c r="E1844" s="27" t="s">
        <v>54</v>
      </c>
      <c r="F1844" s="28" t="n">
        <v>2495</v>
      </c>
      <c r="G1844" s="29" t="n">
        <v>2220</v>
      </c>
      <c r="H1844" s="29" t="n">
        <f aca="false">F1844*G1844</f>
        <v>5538900</v>
      </c>
    </row>
    <row r="1845" customFormat="false" ht="15" hidden="false" customHeight="false" outlineLevel="0" collapsed="false">
      <c r="A1845" s="27" t="n">
        <v>2025</v>
      </c>
      <c r="B1845" s="27" t="n">
        <v>7</v>
      </c>
      <c r="C1845" s="27" t="s">
        <v>42</v>
      </c>
      <c r="D1845" s="27" t="s">
        <v>22</v>
      </c>
      <c r="E1845" s="27" t="s">
        <v>56</v>
      </c>
      <c r="F1845" s="28" t="n">
        <v>2937</v>
      </c>
      <c r="G1845" s="29" t="n">
        <v>2220</v>
      </c>
      <c r="H1845" s="29" t="n">
        <f aca="false">F1845*G1845</f>
        <v>6520140</v>
      </c>
    </row>
    <row r="1846" customFormat="false" ht="15" hidden="false" customHeight="false" outlineLevel="0" collapsed="false">
      <c r="A1846" s="27" t="n">
        <v>2025</v>
      </c>
      <c r="B1846" s="27" t="n">
        <v>7</v>
      </c>
      <c r="C1846" s="27" t="s">
        <v>42</v>
      </c>
      <c r="D1846" s="27" t="s">
        <v>22</v>
      </c>
      <c r="E1846" s="27" t="s">
        <v>58</v>
      </c>
      <c r="F1846" s="28" t="n">
        <v>2421</v>
      </c>
      <c r="G1846" s="29" t="n">
        <v>2250</v>
      </c>
      <c r="H1846" s="29" t="n">
        <f aca="false">F1846*G1846</f>
        <v>5447250</v>
      </c>
    </row>
    <row r="1847" customFormat="false" ht="15" hidden="false" customHeight="false" outlineLevel="0" collapsed="false">
      <c r="A1847" s="27" t="n">
        <v>2025</v>
      </c>
      <c r="B1847" s="27" t="n">
        <v>7</v>
      </c>
      <c r="C1847" s="27" t="s">
        <v>42</v>
      </c>
      <c r="D1847" s="27" t="s">
        <v>24</v>
      </c>
      <c r="E1847" s="27" t="s">
        <v>50</v>
      </c>
      <c r="F1847" s="28" t="n">
        <v>3159</v>
      </c>
      <c r="G1847" s="29" t="n">
        <v>2060</v>
      </c>
      <c r="H1847" s="29" t="n">
        <f aca="false">F1847*G1847</f>
        <v>6507540</v>
      </c>
    </row>
    <row r="1848" customFormat="false" ht="15" hidden="false" customHeight="false" outlineLevel="0" collapsed="false">
      <c r="A1848" s="27" t="n">
        <v>2025</v>
      </c>
      <c r="B1848" s="27" t="n">
        <v>7</v>
      </c>
      <c r="C1848" s="27" t="s">
        <v>42</v>
      </c>
      <c r="D1848" s="27" t="s">
        <v>24</v>
      </c>
      <c r="E1848" s="27" t="s">
        <v>52</v>
      </c>
      <c r="F1848" s="28" t="n">
        <v>1721</v>
      </c>
      <c r="G1848" s="29" t="n">
        <v>2030</v>
      </c>
      <c r="H1848" s="29" t="n">
        <f aca="false">F1848*G1848</f>
        <v>3493630</v>
      </c>
    </row>
    <row r="1849" customFormat="false" ht="15" hidden="false" customHeight="false" outlineLevel="0" collapsed="false">
      <c r="A1849" s="27" t="n">
        <v>2025</v>
      </c>
      <c r="B1849" s="27" t="n">
        <v>7</v>
      </c>
      <c r="C1849" s="27" t="s">
        <v>42</v>
      </c>
      <c r="D1849" s="27" t="s">
        <v>24</v>
      </c>
      <c r="E1849" s="27" t="s">
        <v>54</v>
      </c>
      <c r="F1849" s="28" t="n">
        <v>1622</v>
      </c>
      <c r="G1849" s="29" t="n">
        <v>2040</v>
      </c>
      <c r="H1849" s="29" t="n">
        <f aca="false">F1849*G1849</f>
        <v>3308880</v>
      </c>
    </row>
    <row r="1850" customFormat="false" ht="15" hidden="false" customHeight="false" outlineLevel="0" collapsed="false">
      <c r="A1850" s="27" t="n">
        <v>2025</v>
      </c>
      <c r="B1850" s="27" t="n">
        <v>7</v>
      </c>
      <c r="C1850" s="27" t="s">
        <v>42</v>
      </c>
      <c r="D1850" s="27" t="s">
        <v>24</v>
      </c>
      <c r="E1850" s="27" t="s">
        <v>56</v>
      </c>
      <c r="F1850" s="28" t="n">
        <v>1747</v>
      </c>
      <c r="G1850" s="29" t="n">
        <v>2060</v>
      </c>
      <c r="H1850" s="29" t="n">
        <f aca="false">F1850*G1850</f>
        <v>3598820</v>
      </c>
    </row>
    <row r="1851" customFormat="false" ht="15" hidden="false" customHeight="false" outlineLevel="0" collapsed="false">
      <c r="A1851" s="27" t="n">
        <v>2025</v>
      </c>
      <c r="B1851" s="27" t="n">
        <v>7</v>
      </c>
      <c r="C1851" s="27" t="s">
        <v>42</v>
      </c>
      <c r="D1851" s="27" t="s">
        <v>24</v>
      </c>
      <c r="E1851" s="27" t="s">
        <v>58</v>
      </c>
      <c r="F1851" s="28" t="n">
        <v>1173</v>
      </c>
      <c r="G1851" s="29" t="n">
        <v>2040</v>
      </c>
      <c r="H1851" s="29" t="n">
        <f aca="false">F1851*G1851</f>
        <v>2392920</v>
      </c>
    </row>
    <row r="1852" customFormat="false" ht="15" hidden="false" customHeight="false" outlineLevel="0" collapsed="false">
      <c r="A1852" s="27" t="n">
        <v>2025</v>
      </c>
      <c r="B1852" s="27" t="n">
        <v>7</v>
      </c>
      <c r="C1852" s="27" t="s">
        <v>42</v>
      </c>
      <c r="D1852" s="27" t="s">
        <v>26</v>
      </c>
      <c r="E1852" s="27" t="s">
        <v>50</v>
      </c>
      <c r="F1852" s="28" t="n">
        <v>1549</v>
      </c>
      <c r="G1852" s="29" t="n">
        <v>2460</v>
      </c>
      <c r="H1852" s="29" t="n">
        <f aca="false">F1852*G1852</f>
        <v>3810540</v>
      </c>
    </row>
    <row r="1853" customFormat="false" ht="15" hidden="false" customHeight="false" outlineLevel="0" collapsed="false">
      <c r="A1853" s="27" t="n">
        <v>2025</v>
      </c>
      <c r="B1853" s="27" t="n">
        <v>7</v>
      </c>
      <c r="C1853" s="27" t="s">
        <v>42</v>
      </c>
      <c r="D1853" s="27" t="s">
        <v>26</v>
      </c>
      <c r="E1853" s="27" t="s">
        <v>52</v>
      </c>
      <c r="F1853" s="28" t="n">
        <v>935</v>
      </c>
      <c r="G1853" s="29" t="n">
        <v>2460</v>
      </c>
      <c r="H1853" s="29" t="n">
        <f aca="false">F1853*G1853</f>
        <v>2300100</v>
      </c>
    </row>
    <row r="1854" customFormat="false" ht="15" hidden="false" customHeight="false" outlineLevel="0" collapsed="false">
      <c r="A1854" s="27" t="n">
        <v>2025</v>
      </c>
      <c r="B1854" s="27" t="n">
        <v>7</v>
      </c>
      <c r="C1854" s="27" t="s">
        <v>42</v>
      </c>
      <c r="D1854" s="27" t="s">
        <v>26</v>
      </c>
      <c r="E1854" s="27" t="s">
        <v>54</v>
      </c>
      <c r="F1854" s="28" t="n">
        <v>797</v>
      </c>
      <c r="G1854" s="29" t="n">
        <v>2480</v>
      </c>
      <c r="H1854" s="29" t="n">
        <f aca="false">F1854*G1854</f>
        <v>1976560</v>
      </c>
    </row>
    <row r="1855" customFormat="false" ht="15" hidden="false" customHeight="false" outlineLevel="0" collapsed="false">
      <c r="A1855" s="27" t="n">
        <v>2025</v>
      </c>
      <c r="B1855" s="27" t="n">
        <v>7</v>
      </c>
      <c r="C1855" s="27" t="s">
        <v>42</v>
      </c>
      <c r="D1855" s="27" t="s">
        <v>26</v>
      </c>
      <c r="E1855" s="27" t="s">
        <v>56</v>
      </c>
      <c r="F1855" s="28" t="n">
        <v>914</v>
      </c>
      <c r="G1855" s="29" t="n">
        <v>2500</v>
      </c>
      <c r="H1855" s="29" t="n">
        <f aca="false">F1855*G1855</f>
        <v>2285000</v>
      </c>
    </row>
    <row r="1856" customFormat="false" ht="15" hidden="false" customHeight="false" outlineLevel="0" collapsed="false">
      <c r="A1856" s="27" t="n">
        <v>2025</v>
      </c>
      <c r="B1856" s="27" t="n">
        <v>7</v>
      </c>
      <c r="C1856" s="27" t="s">
        <v>42</v>
      </c>
      <c r="D1856" s="27" t="s">
        <v>26</v>
      </c>
      <c r="E1856" s="27" t="s">
        <v>58</v>
      </c>
      <c r="F1856" s="28" t="n">
        <v>626</v>
      </c>
      <c r="G1856" s="29" t="n">
        <v>2470</v>
      </c>
      <c r="H1856" s="29" t="n">
        <f aca="false">F1856*G1856</f>
        <v>1546220</v>
      </c>
    </row>
    <row r="1857" customFormat="false" ht="15" hidden="false" customHeight="false" outlineLevel="0" collapsed="false">
      <c r="A1857" s="27" t="n">
        <v>2025</v>
      </c>
      <c r="B1857" s="27" t="n">
        <v>7</v>
      </c>
      <c r="C1857" s="27" t="s">
        <v>42</v>
      </c>
      <c r="D1857" s="27" t="s">
        <v>28</v>
      </c>
      <c r="E1857" s="27" t="s">
        <v>50</v>
      </c>
      <c r="F1857" s="28" t="n">
        <v>750</v>
      </c>
      <c r="G1857" s="29" t="n">
        <v>2340</v>
      </c>
      <c r="H1857" s="29" t="n">
        <f aca="false">F1857*G1857</f>
        <v>1755000</v>
      </c>
    </row>
    <row r="1858" customFormat="false" ht="15" hidden="false" customHeight="false" outlineLevel="0" collapsed="false">
      <c r="A1858" s="27" t="n">
        <v>2025</v>
      </c>
      <c r="B1858" s="27" t="n">
        <v>7</v>
      </c>
      <c r="C1858" s="27" t="s">
        <v>42</v>
      </c>
      <c r="D1858" s="27" t="s">
        <v>28</v>
      </c>
      <c r="E1858" s="27" t="s">
        <v>52</v>
      </c>
      <c r="F1858" s="28" t="n">
        <v>455</v>
      </c>
      <c r="G1858" s="29" t="n">
        <v>2330</v>
      </c>
      <c r="H1858" s="29" t="n">
        <f aca="false">F1858*G1858</f>
        <v>1060150</v>
      </c>
    </row>
    <row r="1859" customFormat="false" ht="15" hidden="false" customHeight="false" outlineLevel="0" collapsed="false">
      <c r="A1859" s="27" t="n">
        <v>2025</v>
      </c>
      <c r="B1859" s="27" t="n">
        <v>7</v>
      </c>
      <c r="C1859" s="27" t="s">
        <v>42</v>
      </c>
      <c r="D1859" s="27" t="s">
        <v>28</v>
      </c>
      <c r="E1859" s="27" t="s">
        <v>54</v>
      </c>
      <c r="F1859" s="28" t="n">
        <v>352</v>
      </c>
      <c r="G1859" s="29" t="n">
        <v>2310</v>
      </c>
      <c r="H1859" s="29" t="n">
        <f aca="false">F1859*G1859</f>
        <v>813120</v>
      </c>
    </row>
    <row r="1860" customFormat="false" ht="15" hidden="false" customHeight="false" outlineLevel="0" collapsed="false">
      <c r="A1860" s="27" t="n">
        <v>2025</v>
      </c>
      <c r="B1860" s="27" t="n">
        <v>7</v>
      </c>
      <c r="C1860" s="27" t="s">
        <v>42</v>
      </c>
      <c r="D1860" s="27" t="s">
        <v>28</v>
      </c>
      <c r="E1860" s="27" t="s">
        <v>56</v>
      </c>
      <c r="F1860" s="28" t="n">
        <v>452</v>
      </c>
      <c r="G1860" s="29" t="n">
        <v>2340</v>
      </c>
      <c r="H1860" s="29" t="n">
        <f aca="false">F1860*G1860</f>
        <v>1057680</v>
      </c>
    </row>
    <row r="1861" customFormat="false" ht="15" hidden="false" customHeight="false" outlineLevel="0" collapsed="false">
      <c r="A1861" s="27" t="n">
        <v>2025</v>
      </c>
      <c r="B1861" s="27" t="n">
        <v>7</v>
      </c>
      <c r="C1861" s="27" t="s">
        <v>42</v>
      </c>
      <c r="D1861" s="27" t="s">
        <v>28</v>
      </c>
      <c r="E1861" s="27" t="s">
        <v>58</v>
      </c>
      <c r="F1861" s="28" t="n">
        <v>305</v>
      </c>
      <c r="G1861" s="29" t="n">
        <v>2330</v>
      </c>
      <c r="H1861" s="29" t="n">
        <f aca="false">F1861*G1861</f>
        <v>710650</v>
      </c>
    </row>
    <row r="1862" customFormat="false" ht="15" hidden="false" customHeight="false" outlineLevel="0" collapsed="false">
      <c r="A1862" s="27" t="n">
        <v>2025</v>
      </c>
      <c r="B1862" s="27" t="n">
        <v>7</v>
      </c>
      <c r="C1862" s="27" t="s">
        <v>44</v>
      </c>
      <c r="D1862" s="27" t="s">
        <v>22</v>
      </c>
      <c r="E1862" s="27" t="s">
        <v>50</v>
      </c>
      <c r="F1862" s="28" t="n">
        <v>3565</v>
      </c>
      <c r="G1862" s="29" t="n">
        <v>4140</v>
      </c>
      <c r="H1862" s="29" t="n">
        <f aca="false">F1862*G1862</f>
        <v>14759100</v>
      </c>
    </row>
    <row r="1863" customFormat="false" ht="15" hidden="false" customHeight="false" outlineLevel="0" collapsed="false">
      <c r="A1863" s="27" t="n">
        <v>2025</v>
      </c>
      <c r="B1863" s="27" t="n">
        <v>7</v>
      </c>
      <c r="C1863" s="27" t="s">
        <v>44</v>
      </c>
      <c r="D1863" s="27" t="s">
        <v>22</v>
      </c>
      <c r="E1863" s="27" t="s">
        <v>52</v>
      </c>
      <c r="F1863" s="28" t="n">
        <v>2327</v>
      </c>
      <c r="G1863" s="29" t="n">
        <v>4150</v>
      </c>
      <c r="H1863" s="29" t="n">
        <f aca="false">F1863*G1863</f>
        <v>9657050</v>
      </c>
    </row>
    <row r="1864" customFormat="false" ht="15" hidden="false" customHeight="false" outlineLevel="0" collapsed="false">
      <c r="A1864" s="27" t="n">
        <v>2025</v>
      </c>
      <c r="B1864" s="27" t="n">
        <v>7</v>
      </c>
      <c r="C1864" s="27" t="s">
        <v>44</v>
      </c>
      <c r="D1864" s="27" t="s">
        <v>22</v>
      </c>
      <c r="E1864" s="27" t="s">
        <v>54</v>
      </c>
      <c r="F1864" s="28" t="n">
        <v>1769</v>
      </c>
      <c r="G1864" s="29" t="n">
        <v>4170</v>
      </c>
      <c r="H1864" s="29" t="n">
        <f aca="false">F1864*G1864</f>
        <v>7376730</v>
      </c>
    </row>
    <row r="1865" customFormat="false" ht="15" hidden="false" customHeight="false" outlineLevel="0" collapsed="false">
      <c r="A1865" s="27" t="n">
        <v>2025</v>
      </c>
      <c r="B1865" s="27" t="n">
        <v>7</v>
      </c>
      <c r="C1865" s="27" t="s">
        <v>44</v>
      </c>
      <c r="D1865" s="27" t="s">
        <v>22</v>
      </c>
      <c r="E1865" s="27" t="s">
        <v>56</v>
      </c>
      <c r="F1865" s="28" t="n">
        <v>2136</v>
      </c>
      <c r="G1865" s="29" t="n">
        <v>4140</v>
      </c>
      <c r="H1865" s="29" t="n">
        <f aca="false">F1865*G1865</f>
        <v>8843040</v>
      </c>
    </row>
    <row r="1866" customFormat="false" ht="15" hidden="false" customHeight="false" outlineLevel="0" collapsed="false">
      <c r="A1866" s="27" t="n">
        <v>2025</v>
      </c>
      <c r="B1866" s="27" t="n">
        <v>7</v>
      </c>
      <c r="C1866" s="27" t="s">
        <v>44</v>
      </c>
      <c r="D1866" s="27" t="s">
        <v>22</v>
      </c>
      <c r="E1866" s="27" t="s">
        <v>58</v>
      </c>
      <c r="F1866" s="28" t="n">
        <v>1465</v>
      </c>
      <c r="G1866" s="29" t="n">
        <v>4120</v>
      </c>
      <c r="H1866" s="29" t="n">
        <f aca="false">F1866*G1866</f>
        <v>6035800</v>
      </c>
    </row>
    <row r="1867" customFormat="false" ht="15" hidden="false" customHeight="false" outlineLevel="0" collapsed="false">
      <c r="A1867" s="27" t="n">
        <v>2025</v>
      </c>
      <c r="B1867" s="27" t="n">
        <v>7</v>
      </c>
      <c r="C1867" s="27" t="s">
        <v>44</v>
      </c>
      <c r="D1867" s="27" t="s">
        <v>24</v>
      </c>
      <c r="E1867" s="27" t="s">
        <v>50</v>
      </c>
      <c r="F1867" s="28" t="n">
        <v>1983</v>
      </c>
      <c r="G1867" s="29" t="n">
        <v>3850</v>
      </c>
      <c r="H1867" s="29" t="n">
        <f aca="false">F1867*G1867</f>
        <v>7634550</v>
      </c>
    </row>
    <row r="1868" customFormat="false" ht="15" hidden="false" customHeight="false" outlineLevel="0" collapsed="false">
      <c r="A1868" s="27" t="n">
        <v>2025</v>
      </c>
      <c r="B1868" s="27" t="n">
        <v>7</v>
      </c>
      <c r="C1868" s="27" t="s">
        <v>44</v>
      </c>
      <c r="D1868" s="27" t="s">
        <v>24</v>
      </c>
      <c r="E1868" s="27" t="s">
        <v>52</v>
      </c>
      <c r="F1868" s="28" t="n">
        <v>1470</v>
      </c>
      <c r="G1868" s="29" t="n">
        <v>3810</v>
      </c>
      <c r="H1868" s="29" t="n">
        <f aca="false">F1868*G1868</f>
        <v>5600700</v>
      </c>
    </row>
    <row r="1869" customFormat="false" ht="15" hidden="false" customHeight="false" outlineLevel="0" collapsed="false">
      <c r="A1869" s="27" t="n">
        <v>2025</v>
      </c>
      <c r="B1869" s="27" t="n">
        <v>7</v>
      </c>
      <c r="C1869" s="27" t="s">
        <v>44</v>
      </c>
      <c r="D1869" s="27" t="s">
        <v>24</v>
      </c>
      <c r="E1869" s="27" t="s">
        <v>54</v>
      </c>
      <c r="F1869" s="28" t="n">
        <v>1033</v>
      </c>
      <c r="G1869" s="29" t="n">
        <v>3810</v>
      </c>
      <c r="H1869" s="29" t="n">
        <f aca="false">F1869*G1869</f>
        <v>3935730</v>
      </c>
    </row>
    <row r="1870" customFormat="false" ht="15" hidden="false" customHeight="false" outlineLevel="0" collapsed="false">
      <c r="A1870" s="27" t="n">
        <v>2025</v>
      </c>
      <c r="B1870" s="27" t="n">
        <v>7</v>
      </c>
      <c r="C1870" s="27" t="s">
        <v>44</v>
      </c>
      <c r="D1870" s="27" t="s">
        <v>24</v>
      </c>
      <c r="E1870" s="27" t="s">
        <v>56</v>
      </c>
      <c r="F1870" s="28" t="n">
        <v>1193</v>
      </c>
      <c r="G1870" s="29" t="n">
        <v>3890</v>
      </c>
      <c r="H1870" s="29" t="n">
        <f aca="false">F1870*G1870</f>
        <v>4640770</v>
      </c>
    </row>
    <row r="1871" customFormat="false" ht="15" hidden="false" customHeight="false" outlineLevel="0" collapsed="false">
      <c r="A1871" s="27" t="n">
        <v>2025</v>
      </c>
      <c r="B1871" s="27" t="n">
        <v>7</v>
      </c>
      <c r="C1871" s="27" t="s">
        <v>44</v>
      </c>
      <c r="D1871" s="27" t="s">
        <v>24</v>
      </c>
      <c r="E1871" s="27" t="s">
        <v>58</v>
      </c>
      <c r="F1871" s="28" t="n">
        <v>808</v>
      </c>
      <c r="G1871" s="29" t="n">
        <v>3810</v>
      </c>
      <c r="H1871" s="29" t="n">
        <f aca="false">F1871*G1871</f>
        <v>3078480</v>
      </c>
    </row>
    <row r="1872" customFormat="false" ht="15" hidden="false" customHeight="false" outlineLevel="0" collapsed="false">
      <c r="A1872" s="27" t="n">
        <v>2025</v>
      </c>
      <c r="B1872" s="27" t="n">
        <v>7</v>
      </c>
      <c r="C1872" s="27" t="s">
        <v>44</v>
      </c>
      <c r="D1872" s="27" t="s">
        <v>26</v>
      </c>
      <c r="E1872" s="27" t="s">
        <v>50</v>
      </c>
      <c r="F1872" s="28" t="n">
        <v>965</v>
      </c>
      <c r="G1872" s="29" t="n">
        <v>4570</v>
      </c>
      <c r="H1872" s="29" t="n">
        <f aca="false">F1872*G1872</f>
        <v>4410050</v>
      </c>
    </row>
    <row r="1873" customFormat="false" ht="15" hidden="false" customHeight="false" outlineLevel="0" collapsed="false">
      <c r="A1873" s="27" t="n">
        <v>2025</v>
      </c>
      <c r="B1873" s="27" t="n">
        <v>7</v>
      </c>
      <c r="C1873" s="27" t="s">
        <v>44</v>
      </c>
      <c r="D1873" s="27" t="s">
        <v>26</v>
      </c>
      <c r="E1873" s="27" t="s">
        <v>52</v>
      </c>
      <c r="F1873" s="28" t="n">
        <v>599</v>
      </c>
      <c r="G1873" s="29" t="n">
        <v>4640</v>
      </c>
      <c r="H1873" s="29" t="n">
        <f aca="false">F1873*G1873</f>
        <v>2779360</v>
      </c>
    </row>
    <row r="1874" customFormat="false" ht="15" hidden="false" customHeight="false" outlineLevel="0" collapsed="false">
      <c r="A1874" s="27" t="n">
        <v>2025</v>
      </c>
      <c r="B1874" s="27" t="n">
        <v>7</v>
      </c>
      <c r="C1874" s="27" t="s">
        <v>44</v>
      </c>
      <c r="D1874" s="27" t="s">
        <v>26</v>
      </c>
      <c r="E1874" s="27" t="s">
        <v>54</v>
      </c>
      <c r="F1874" s="28" t="n">
        <v>598</v>
      </c>
      <c r="G1874" s="29" t="n">
        <v>4590</v>
      </c>
      <c r="H1874" s="29" t="n">
        <f aca="false">F1874*G1874</f>
        <v>2744820</v>
      </c>
    </row>
    <row r="1875" customFormat="false" ht="15" hidden="false" customHeight="false" outlineLevel="0" collapsed="false">
      <c r="A1875" s="27" t="n">
        <v>2025</v>
      </c>
      <c r="B1875" s="27" t="n">
        <v>7</v>
      </c>
      <c r="C1875" s="27" t="s">
        <v>44</v>
      </c>
      <c r="D1875" s="27" t="s">
        <v>26</v>
      </c>
      <c r="E1875" s="27" t="s">
        <v>56</v>
      </c>
      <c r="F1875" s="28" t="n">
        <v>571</v>
      </c>
      <c r="G1875" s="29" t="n">
        <v>4650</v>
      </c>
      <c r="H1875" s="29" t="n">
        <f aca="false">F1875*G1875</f>
        <v>2655150</v>
      </c>
    </row>
    <row r="1876" customFormat="false" ht="15" hidden="false" customHeight="false" outlineLevel="0" collapsed="false">
      <c r="A1876" s="27" t="n">
        <v>2025</v>
      </c>
      <c r="B1876" s="27" t="n">
        <v>7</v>
      </c>
      <c r="C1876" s="27" t="s">
        <v>44</v>
      </c>
      <c r="D1876" s="27" t="s">
        <v>26</v>
      </c>
      <c r="E1876" s="27" t="s">
        <v>58</v>
      </c>
      <c r="F1876" s="28" t="n">
        <v>411</v>
      </c>
      <c r="G1876" s="29" t="n">
        <v>4670</v>
      </c>
      <c r="H1876" s="29" t="n">
        <f aca="false">F1876*G1876</f>
        <v>1919370</v>
      </c>
    </row>
    <row r="1877" customFormat="false" ht="15" hidden="false" customHeight="false" outlineLevel="0" collapsed="false">
      <c r="A1877" s="27" t="n">
        <v>2025</v>
      </c>
      <c r="B1877" s="27" t="n">
        <v>7</v>
      </c>
      <c r="C1877" s="27" t="s">
        <v>44</v>
      </c>
      <c r="D1877" s="27" t="s">
        <v>28</v>
      </c>
      <c r="E1877" s="27" t="s">
        <v>50</v>
      </c>
      <c r="F1877" s="28" t="n">
        <v>488</v>
      </c>
      <c r="G1877" s="29" t="n">
        <v>4290</v>
      </c>
      <c r="H1877" s="29" t="n">
        <f aca="false">F1877*G1877</f>
        <v>2093520</v>
      </c>
    </row>
    <row r="1878" customFormat="false" ht="15" hidden="false" customHeight="false" outlineLevel="0" collapsed="false">
      <c r="A1878" s="27" t="n">
        <v>2025</v>
      </c>
      <c r="B1878" s="27" t="n">
        <v>7</v>
      </c>
      <c r="C1878" s="27" t="s">
        <v>44</v>
      </c>
      <c r="D1878" s="27" t="s">
        <v>28</v>
      </c>
      <c r="E1878" s="27" t="s">
        <v>52</v>
      </c>
      <c r="F1878" s="28" t="n">
        <v>307</v>
      </c>
      <c r="G1878" s="29" t="n">
        <v>4350</v>
      </c>
      <c r="H1878" s="29" t="n">
        <f aca="false">F1878*G1878</f>
        <v>1335450</v>
      </c>
    </row>
    <row r="1879" customFormat="false" ht="15" hidden="false" customHeight="false" outlineLevel="0" collapsed="false">
      <c r="A1879" s="27" t="n">
        <v>2025</v>
      </c>
      <c r="B1879" s="27" t="n">
        <v>7</v>
      </c>
      <c r="C1879" s="27" t="s">
        <v>44</v>
      </c>
      <c r="D1879" s="27" t="s">
        <v>28</v>
      </c>
      <c r="E1879" s="27" t="s">
        <v>54</v>
      </c>
      <c r="F1879" s="28" t="n">
        <v>245</v>
      </c>
      <c r="G1879" s="29" t="n">
        <v>4300</v>
      </c>
      <c r="H1879" s="29" t="n">
        <f aca="false">F1879*G1879</f>
        <v>1053500</v>
      </c>
    </row>
    <row r="1880" customFormat="false" ht="15" hidden="false" customHeight="false" outlineLevel="0" collapsed="false">
      <c r="A1880" s="27" t="n">
        <v>2025</v>
      </c>
      <c r="B1880" s="27" t="n">
        <v>7</v>
      </c>
      <c r="C1880" s="27" t="s">
        <v>44</v>
      </c>
      <c r="D1880" s="27" t="s">
        <v>28</v>
      </c>
      <c r="E1880" s="27" t="s">
        <v>56</v>
      </c>
      <c r="F1880" s="28" t="n">
        <v>291</v>
      </c>
      <c r="G1880" s="29" t="n">
        <v>4270</v>
      </c>
      <c r="H1880" s="29" t="n">
        <f aca="false">F1880*G1880</f>
        <v>1242570</v>
      </c>
    </row>
    <row r="1881" customFormat="false" ht="15" hidden="false" customHeight="false" outlineLevel="0" collapsed="false">
      <c r="A1881" s="27" t="n">
        <v>2025</v>
      </c>
      <c r="B1881" s="27" t="n">
        <v>7</v>
      </c>
      <c r="C1881" s="27" t="s">
        <v>44</v>
      </c>
      <c r="D1881" s="27" t="s">
        <v>28</v>
      </c>
      <c r="E1881" s="27" t="s">
        <v>58</v>
      </c>
      <c r="F1881" s="28" t="n">
        <v>205</v>
      </c>
      <c r="G1881" s="29" t="n">
        <v>4240</v>
      </c>
      <c r="H1881" s="29" t="n">
        <f aca="false">F1881*G1881</f>
        <v>869200</v>
      </c>
    </row>
    <row r="1882" customFormat="false" ht="15" hidden="false" customHeight="false" outlineLevel="0" collapsed="false">
      <c r="A1882" s="27" t="n">
        <v>2025</v>
      </c>
      <c r="B1882" s="27" t="n">
        <v>7</v>
      </c>
      <c r="C1882" s="27" t="s">
        <v>45</v>
      </c>
      <c r="D1882" s="27" t="s">
        <v>22</v>
      </c>
      <c r="E1882" s="27" t="s">
        <v>50</v>
      </c>
      <c r="F1882" s="28" t="n">
        <v>3567</v>
      </c>
      <c r="G1882" s="29" t="n">
        <v>2550</v>
      </c>
      <c r="H1882" s="29" t="n">
        <f aca="false">F1882*G1882</f>
        <v>9095850</v>
      </c>
    </row>
    <row r="1883" customFormat="false" ht="15" hidden="false" customHeight="false" outlineLevel="0" collapsed="false">
      <c r="A1883" s="27" t="n">
        <v>2025</v>
      </c>
      <c r="B1883" s="27" t="n">
        <v>7</v>
      </c>
      <c r="C1883" s="27" t="s">
        <v>45</v>
      </c>
      <c r="D1883" s="27" t="s">
        <v>22</v>
      </c>
      <c r="E1883" s="27" t="s">
        <v>52</v>
      </c>
      <c r="F1883" s="28" t="n">
        <v>2314</v>
      </c>
      <c r="G1883" s="29" t="n">
        <v>2550</v>
      </c>
      <c r="H1883" s="29" t="n">
        <f aca="false">F1883*G1883</f>
        <v>5900700</v>
      </c>
    </row>
    <row r="1884" customFormat="false" ht="15" hidden="false" customHeight="false" outlineLevel="0" collapsed="false">
      <c r="A1884" s="27" t="n">
        <v>2025</v>
      </c>
      <c r="B1884" s="27" t="n">
        <v>7</v>
      </c>
      <c r="C1884" s="27" t="s">
        <v>45</v>
      </c>
      <c r="D1884" s="27" t="s">
        <v>22</v>
      </c>
      <c r="E1884" s="27" t="s">
        <v>54</v>
      </c>
      <c r="F1884" s="28" t="n">
        <v>1818</v>
      </c>
      <c r="G1884" s="29" t="n">
        <v>2560</v>
      </c>
      <c r="H1884" s="29" t="n">
        <f aca="false">F1884*G1884</f>
        <v>4654080</v>
      </c>
    </row>
    <row r="1885" customFormat="false" ht="15" hidden="false" customHeight="false" outlineLevel="0" collapsed="false">
      <c r="A1885" s="27" t="n">
        <v>2025</v>
      </c>
      <c r="B1885" s="27" t="n">
        <v>7</v>
      </c>
      <c r="C1885" s="27" t="s">
        <v>45</v>
      </c>
      <c r="D1885" s="27" t="s">
        <v>22</v>
      </c>
      <c r="E1885" s="27" t="s">
        <v>56</v>
      </c>
      <c r="F1885" s="28" t="n">
        <v>2266</v>
      </c>
      <c r="G1885" s="29" t="n">
        <v>2540</v>
      </c>
      <c r="H1885" s="29" t="n">
        <f aca="false">F1885*G1885</f>
        <v>5755640</v>
      </c>
    </row>
    <row r="1886" customFormat="false" ht="15" hidden="false" customHeight="false" outlineLevel="0" collapsed="false">
      <c r="A1886" s="27" t="n">
        <v>2025</v>
      </c>
      <c r="B1886" s="27" t="n">
        <v>7</v>
      </c>
      <c r="C1886" s="27" t="s">
        <v>45</v>
      </c>
      <c r="D1886" s="27" t="s">
        <v>22</v>
      </c>
      <c r="E1886" s="27" t="s">
        <v>58</v>
      </c>
      <c r="F1886" s="28" t="n">
        <v>1551</v>
      </c>
      <c r="G1886" s="29" t="n">
        <v>2550</v>
      </c>
      <c r="H1886" s="29" t="n">
        <f aca="false">F1886*G1886</f>
        <v>3955050</v>
      </c>
    </row>
    <row r="1887" customFormat="false" ht="15" hidden="false" customHeight="false" outlineLevel="0" collapsed="false">
      <c r="A1887" s="27" t="n">
        <v>2025</v>
      </c>
      <c r="B1887" s="27" t="n">
        <v>7</v>
      </c>
      <c r="C1887" s="27" t="s">
        <v>45</v>
      </c>
      <c r="D1887" s="27" t="s">
        <v>24</v>
      </c>
      <c r="E1887" s="27" t="s">
        <v>50</v>
      </c>
      <c r="F1887" s="28" t="n">
        <v>2066</v>
      </c>
      <c r="G1887" s="29" t="n">
        <v>2320</v>
      </c>
      <c r="H1887" s="29" t="n">
        <f aca="false">F1887*G1887</f>
        <v>4793120</v>
      </c>
    </row>
    <row r="1888" customFormat="false" ht="15" hidden="false" customHeight="false" outlineLevel="0" collapsed="false">
      <c r="A1888" s="27" t="n">
        <v>2025</v>
      </c>
      <c r="B1888" s="27" t="n">
        <v>7</v>
      </c>
      <c r="C1888" s="27" t="s">
        <v>45</v>
      </c>
      <c r="D1888" s="27" t="s">
        <v>24</v>
      </c>
      <c r="E1888" s="27" t="s">
        <v>52</v>
      </c>
      <c r="F1888" s="28" t="n">
        <v>1348</v>
      </c>
      <c r="G1888" s="29" t="n">
        <v>2370</v>
      </c>
      <c r="H1888" s="29" t="n">
        <f aca="false">F1888*G1888</f>
        <v>3194760</v>
      </c>
    </row>
    <row r="1889" customFormat="false" ht="15" hidden="false" customHeight="false" outlineLevel="0" collapsed="false">
      <c r="A1889" s="27" t="n">
        <v>2025</v>
      </c>
      <c r="B1889" s="27" t="n">
        <v>7</v>
      </c>
      <c r="C1889" s="27" t="s">
        <v>45</v>
      </c>
      <c r="D1889" s="27" t="s">
        <v>24</v>
      </c>
      <c r="E1889" s="27" t="s">
        <v>54</v>
      </c>
      <c r="F1889" s="28" t="n">
        <v>1114</v>
      </c>
      <c r="G1889" s="29" t="n">
        <v>2330</v>
      </c>
      <c r="H1889" s="29" t="n">
        <f aca="false">F1889*G1889</f>
        <v>2595620</v>
      </c>
    </row>
    <row r="1890" customFormat="false" ht="15" hidden="false" customHeight="false" outlineLevel="0" collapsed="false">
      <c r="A1890" s="27" t="n">
        <v>2025</v>
      </c>
      <c r="B1890" s="27" t="n">
        <v>7</v>
      </c>
      <c r="C1890" s="27" t="s">
        <v>45</v>
      </c>
      <c r="D1890" s="27" t="s">
        <v>24</v>
      </c>
      <c r="E1890" s="27" t="s">
        <v>56</v>
      </c>
      <c r="F1890" s="28" t="n">
        <v>1197</v>
      </c>
      <c r="G1890" s="29" t="n">
        <v>2370</v>
      </c>
      <c r="H1890" s="29" t="n">
        <f aca="false">F1890*G1890</f>
        <v>2836890</v>
      </c>
    </row>
    <row r="1891" customFormat="false" ht="15" hidden="false" customHeight="false" outlineLevel="0" collapsed="false">
      <c r="A1891" s="27" t="n">
        <v>2025</v>
      </c>
      <c r="B1891" s="27" t="n">
        <v>7</v>
      </c>
      <c r="C1891" s="27" t="s">
        <v>45</v>
      </c>
      <c r="D1891" s="27" t="s">
        <v>24</v>
      </c>
      <c r="E1891" s="27" t="s">
        <v>58</v>
      </c>
      <c r="F1891" s="28" t="n">
        <v>855</v>
      </c>
      <c r="G1891" s="29" t="n">
        <v>2310</v>
      </c>
      <c r="H1891" s="29" t="n">
        <f aca="false">F1891*G1891</f>
        <v>1975050</v>
      </c>
    </row>
    <row r="1892" customFormat="false" ht="15" hidden="false" customHeight="false" outlineLevel="0" collapsed="false">
      <c r="A1892" s="27" t="n">
        <v>2025</v>
      </c>
      <c r="B1892" s="27" t="n">
        <v>7</v>
      </c>
      <c r="C1892" s="27" t="s">
        <v>45</v>
      </c>
      <c r="D1892" s="27" t="s">
        <v>26</v>
      </c>
      <c r="E1892" s="27" t="s">
        <v>50</v>
      </c>
      <c r="F1892" s="28" t="n">
        <v>1096</v>
      </c>
      <c r="G1892" s="29" t="n">
        <v>2780</v>
      </c>
      <c r="H1892" s="29" t="n">
        <f aca="false">F1892*G1892</f>
        <v>3046880</v>
      </c>
    </row>
    <row r="1893" customFormat="false" ht="15" hidden="false" customHeight="false" outlineLevel="0" collapsed="false">
      <c r="A1893" s="27" t="n">
        <v>2025</v>
      </c>
      <c r="B1893" s="27" t="n">
        <v>7</v>
      </c>
      <c r="C1893" s="27" t="s">
        <v>45</v>
      </c>
      <c r="D1893" s="27" t="s">
        <v>26</v>
      </c>
      <c r="E1893" s="27" t="s">
        <v>52</v>
      </c>
      <c r="F1893" s="28" t="n">
        <v>640</v>
      </c>
      <c r="G1893" s="29" t="n">
        <v>2870</v>
      </c>
      <c r="H1893" s="29" t="n">
        <f aca="false">F1893*G1893</f>
        <v>1836800</v>
      </c>
    </row>
    <row r="1894" customFormat="false" ht="15" hidden="false" customHeight="false" outlineLevel="0" collapsed="false">
      <c r="A1894" s="27" t="n">
        <v>2025</v>
      </c>
      <c r="B1894" s="27" t="n">
        <v>7</v>
      </c>
      <c r="C1894" s="27" t="s">
        <v>45</v>
      </c>
      <c r="D1894" s="27" t="s">
        <v>26</v>
      </c>
      <c r="E1894" s="27" t="s">
        <v>54</v>
      </c>
      <c r="F1894" s="28" t="n">
        <v>587</v>
      </c>
      <c r="G1894" s="29" t="n">
        <v>2800</v>
      </c>
      <c r="H1894" s="29" t="n">
        <f aca="false">F1894*G1894</f>
        <v>1643600</v>
      </c>
    </row>
    <row r="1895" customFormat="false" ht="15" hidden="false" customHeight="false" outlineLevel="0" collapsed="false">
      <c r="A1895" s="27" t="n">
        <v>2025</v>
      </c>
      <c r="B1895" s="27" t="n">
        <v>7</v>
      </c>
      <c r="C1895" s="27" t="s">
        <v>45</v>
      </c>
      <c r="D1895" s="27" t="s">
        <v>26</v>
      </c>
      <c r="E1895" s="27" t="s">
        <v>56</v>
      </c>
      <c r="F1895" s="28" t="n">
        <v>628</v>
      </c>
      <c r="G1895" s="29" t="n">
        <v>2840</v>
      </c>
      <c r="H1895" s="29" t="n">
        <f aca="false">F1895*G1895</f>
        <v>1783520</v>
      </c>
    </row>
    <row r="1896" customFormat="false" ht="15" hidden="false" customHeight="false" outlineLevel="0" collapsed="false">
      <c r="A1896" s="27" t="n">
        <v>2025</v>
      </c>
      <c r="B1896" s="27" t="n">
        <v>7</v>
      </c>
      <c r="C1896" s="27" t="s">
        <v>45</v>
      </c>
      <c r="D1896" s="27" t="s">
        <v>26</v>
      </c>
      <c r="E1896" s="27" t="s">
        <v>58</v>
      </c>
      <c r="F1896" s="28" t="n">
        <v>476</v>
      </c>
      <c r="G1896" s="29" t="n">
        <v>2820</v>
      </c>
      <c r="H1896" s="29" t="n">
        <f aca="false">F1896*G1896</f>
        <v>1342320</v>
      </c>
    </row>
    <row r="1897" customFormat="false" ht="15" hidden="false" customHeight="false" outlineLevel="0" collapsed="false">
      <c r="A1897" s="27" t="n">
        <v>2025</v>
      </c>
      <c r="B1897" s="27" t="n">
        <v>7</v>
      </c>
      <c r="C1897" s="27" t="s">
        <v>45</v>
      </c>
      <c r="D1897" s="27" t="s">
        <v>28</v>
      </c>
      <c r="E1897" s="27" t="s">
        <v>50</v>
      </c>
      <c r="F1897" s="28" t="n">
        <v>496</v>
      </c>
      <c r="G1897" s="29" t="n">
        <v>2700</v>
      </c>
      <c r="H1897" s="29" t="n">
        <f aca="false">F1897*G1897</f>
        <v>1339200</v>
      </c>
    </row>
    <row r="1898" customFormat="false" ht="15" hidden="false" customHeight="false" outlineLevel="0" collapsed="false">
      <c r="A1898" s="27" t="n">
        <v>2025</v>
      </c>
      <c r="B1898" s="27" t="n">
        <v>7</v>
      </c>
      <c r="C1898" s="27" t="s">
        <v>45</v>
      </c>
      <c r="D1898" s="27" t="s">
        <v>28</v>
      </c>
      <c r="E1898" s="27" t="s">
        <v>52</v>
      </c>
      <c r="F1898" s="28" t="n">
        <v>311</v>
      </c>
      <c r="G1898" s="29" t="n">
        <v>2680</v>
      </c>
      <c r="H1898" s="29" t="n">
        <f aca="false">F1898*G1898</f>
        <v>833480</v>
      </c>
    </row>
    <row r="1899" customFormat="false" ht="15" hidden="false" customHeight="false" outlineLevel="0" collapsed="false">
      <c r="A1899" s="27" t="n">
        <v>2025</v>
      </c>
      <c r="B1899" s="27" t="n">
        <v>7</v>
      </c>
      <c r="C1899" s="27" t="s">
        <v>45</v>
      </c>
      <c r="D1899" s="27" t="s">
        <v>28</v>
      </c>
      <c r="E1899" s="27" t="s">
        <v>54</v>
      </c>
      <c r="F1899" s="28" t="n">
        <v>235</v>
      </c>
      <c r="G1899" s="29" t="n">
        <v>2650</v>
      </c>
      <c r="H1899" s="29" t="n">
        <f aca="false">F1899*G1899</f>
        <v>622750</v>
      </c>
    </row>
    <row r="1900" customFormat="false" ht="15" hidden="false" customHeight="false" outlineLevel="0" collapsed="false">
      <c r="A1900" s="27" t="n">
        <v>2025</v>
      </c>
      <c r="B1900" s="27" t="n">
        <v>7</v>
      </c>
      <c r="C1900" s="27" t="s">
        <v>45</v>
      </c>
      <c r="D1900" s="27" t="s">
        <v>28</v>
      </c>
      <c r="E1900" s="27" t="s">
        <v>56</v>
      </c>
      <c r="F1900" s="28" t="n">
        <v>276</v>
      </c>
      <c r="G1900" s="29" t="n">
        <v>2630</v>
      </c>
      <c r="H1900" s="29" t="n">
        <f aca="false">F1900*G1900</f>
        <v>725880</v>
      </c>
    </row>
    <row r="1901" customFormat="false" ht="15" hidden="false" customHeight="false" outlineLevel="0" collapsed="false">
      <c r="A1901" s="27" t="n">
        <v>2025</v>
      </c>
      <c r="B1901" s="27" t="n">
        <v>7</v>
      </c>
      <c r="C1901" s="27" t="s">
        <v>45</v>
      </c>
      <c r="D1901" s="27" t="s">
        <v>28</v>
      </c>
      <c r="E1901" s="27" t="s">
        <v>58</v>
      </c>
      <c r="F1901" s="28" t="n">
        <v>215</v>
      </c>
      <c r="G1901" s="29" t="n">
        <v>2660</v>
      </c>
      <c r="H1901" s="29" t="n">
        <f aca="false">F1901*G1901</f>
        <v>571900</v>
      </c>
    </row>
    <row r="1902" customFormat="false" ht="15" hidden="false" customHeight="false" outlineLevel="0" collapsed="false">
      <c r="A1902" s="27" t="n">
        <v>2025</v>
      </c>
      <c r="B1902" s="27" t="n">
        <v>8</v>
      </c>
      <c r="C1902" s="27" t="s">
        <v>38</v>
      </c>
      <c r="D1902" s="27" t="s">
        <v>22</v>
      </c>
      <c r="E1902" s="27" t="s">
        <v>50</v>
      </c>
      <c r="F1902" s="28" t="n">
        <v>8262</v>
      </c>
      <c r="G1902" s="29" t="n">
        <v>2720</v>
      </c>
      <c r="H1902" s="29" t="n">
        <f aca="false">F1902*G1902</f>
        <v>22472640</v>
      </c>
    </row>
    <row r="1903" customFormat="false" ht="15" hidden="false" customHeight="false" outlineLevel="0" collapsed="false">
      <c r="A1903" s="27" t="n">
        <v>2025</v>
      </c>
      <c r="B1903" s="27" t="n">
        <v>8</v>
      </c>
      <c r="C1903" s="27" t="s">
        <v>38</v>
      </c>
      <c r="D1903" s="27" t="s">
        <v>22</v>
      </c>
      <c r="E1903" s="27" t="s">
        <v>52</v>
      </c>
      <c r="F1903" s="28" t="n">
        <v>5190</v>
      </c>
      <c r="G1903" s="29" t="n">
        <v>2750</v>
      </c>
      <c r="H1903" s="29" t="n">
        <f aca="false">F1903*G1903</f>
        <v>14272500</v>
      </c>
    </row>
    <row r="1904" customFormat="false" ht="15" hidden="false" customHeight="false" outlineLevel="0" collapsed="false">
      <c r="A1904" s="27" t="n">
        <v>2025</v>
      </c>
      <c r="B1904" s="27" t="n">
        <v>8</v>
      </c>
      <c r="C1904" s="27" t="s">
        <v>38</v>
      </c>
      <c r="D1904" s="27" t="s">
        <v>22</v>
      </c>
      <c r="E1904" s="27" t="s">
        <v>54</v>
      </c>
      <c r="F1904" s="28" t="n">
        <v>4405</v>
      </c>
      <c r="G1904" s="29" t="n">
        <v>2670</v>
      </c>
      <c r="H1904" s="29" t="n">
        <f aca="false">F1904*G1904</f>
        <v>11761350</v>
      </c>
    </row>
    <row r="1905" customFormat="false" ht="15" hidden="false" customHeight="false" outlineLevel="0" collapsed="false">
      <c r="A1905" s="27" t="n">
        <v>2025</v>
      </c>
      <c r="B1905" s="27" t="n">
        <v>8</v>
      </c>
      <c r="C1905" s="27" t="s">
        <v>38</v>
      </c>
      <c r="D1905" s="27" t="s">
        <v>22</v>
      </c>
      <c r="E1905" s="27" t="s">
        <v>56</v>
      </c>
      <c r="F1905" s="28" t="n">
        <v>4778</v>
      </c>
      <c r="G1905" s="29" t="n">
        <v>2750</v>
      </c>
      <c r="H1905" s="29" t="n">
        <f aca="false">F1905*G1905</f>
        <v>13139500</v>
      </c>
    </row>
    <row r="1906" customFormat="false" ht="15" hidden="false" customHeight="false" outlineLevel="0" collapsed="false">
      <c r="A1906" s="27" t="n">
        <v>2025</v>
      </c>
      <c r="B1906" s="27" t="n">
        <v>8</v>
      </c>
      <c r="C1906" s="27" t="s">
        <v>38</v>
      </c>
      <c r="D1906" s="27" t="s">
        <v>22</v>
      </c>
      <c r="E1906" s="27" t="s">
        <v>58</v>
      </c>
      <c r="F1906" s="28" t="n">
        <v>3394</v>
      </c>
      <c r="G1906" s="29" t="n">
        <v>2750</v>
      </c>
      <c r="H1906" s="29" t="n">
        <f aca="false">F1906*G1906</f>
        <v>9333500</v>
      </c>
    </row>
    <row r="1907" customFormat="false" ht="15" hidden="false" customHeight="false" outlineLevel="0" collapsed="false">
      <c r="A1907" s="27" t="n">
        <v>2025</v>
      </c>
      <c r="B1907" s="27" t="n">
        <v>8</v>
      </c>
      <c r="C1907" s="27" t="s">
        <v>38</v>
      </c>
      <c r="D1907" s="27" t="s">
        <v>24</v>
      </c>
      <c r="E1907" s="27" t="s">
        <v>50</v>
      </c>
      <c r="F1907" s="28" t="n">
        <v>4926</v>
      </c>
      <c r="G1907" s="29" t="n">
        <v>2540</v>
      </c>
      <c r="H1907" s="29" t="n">
        <f aca="false">F1907*G1907</f>
        <v>12512040</v>
      </c>
    </row>
    <row r="1908" customFormat="false" ht="15" hidden="false" customHeight="false" outlineLevel="0" collapsed="false">
      <c r="A1908" s="27" t="n">
        <v>2025</v>
      </c>
      <c r="B1908" s="27" t="n">
        <v>8</v>
      </c>
      <c r="C1908" s="27" t="s">
        <v>38</v>
      </c>
      <c r="D1908" s="27" t="s">
        <v>24</v>
      </c>
      <c r="E1908" s="27" t="s">
        <v>52</v>
      </c>
      <c r="F1908" s="28" t="n">
        <v>2958</v>
      </c>
      <c r="G1908" s="29" t="n">
        <v>2540</v>
      </c>
      <c r="H1908" s="29" t="n">
        <f aca="false">F1908*G1908</f>
        <v>7513320</v>
      </c>
    </row>
    <row r="1909" customFormat="false" ht="15" hidden="false" customHeight="false" outlineLevel="0" collapsed="false">
      <c r="A1909" s="27" t="n">
        <v>2025</v>
      </c>
      <c r="B1909" s="27" t="n">
        <v>8</v>
      </c>
      <c r="C1909" s="27" t="s">
        <v>38</v>
      </c>
      <c r="D1909" s="27" t="s">
        <v>24</v>
      </c>
      <c r="E1909" s="27" t="s">
        <v>54</v>
      </c>
      <c r="F1909" s="28" t="n">
        <v>2570</v>
      </c>
      <c r="G1909" s="29" t="n">
        <v>2530</v>
      </c>
      <c r="H1909" s="29" t="n">
        <f aca="false">F1909*G1909</f>
        <v>6502100</v>
      </c>
    </row>
    <row r="1910" customFormat="false" ht="15" hidden="false" customHeight="false" outlineLevel="0" collapsed="false">
      <c r="A1910" s="27" t="n">
        <v>2025</v>
      </c>
      <c r="B1910" s="27" t="n">
        <v>8</v>
      </c>
      <c r="C1910" s="27" t="s">
        <v>38</v>
      </c>
      <c r="D1910" s="27" t="s">
        <v>24</v>
      </c>
      <c r="E1910" s="27" t="s">
        <v>56</v>
      </c>
      <c r="F1910" s="28" t="n">
        <v>2877</v>
      </c>
      <c r="G1910" s="29" t="n">
        <v>2560</v>
      </c>
      <c r="H1910" s="29" t="n">
        <f aca="false">F1910*G1910</f>
        <v>7365120</v>
      </c>
    </row>
    <row r="1911" customFormat="false" ht="15" hidden="false" customHeight="false" outlineLevel="0" collapsed="false">
      <c r="A1911" s="27" t="n">
        <v>2025</v>
      </c>
      <c r="B1911" s="27" t="n">
        <v>8</v>
      </c>
      <c r="C1911" s="27" t="s">
        <v>38</v>
      </c>
      <c r="D1911" s="27" t="s">
        <v>24</v>
      </c>
      <c r="E1911" s="27" t="s">
        <v>58</v>
      </c>
      <c r="F1911" s="28" t="n">
        <v>2129</v>
      </c>
      <c r="G1911" s="29" t="n">
        <v>2540</v>
      </c>
      <c r="H1911" s="29" t="n">
        <f aca="false">F1911*G1911</f>
        <v>5407660</v>
      </c>
    </row>
    <row r="1912" customFormat="false" ht="15" hidden="false" customHeight="false" outlineLevel="0" collapsed="false">
      <c r="A1912" s="27" t="n">
        <v>2025</v>
      </c>
      <c r="B1912" s="27" t="n">
        <v>8</v>
      </c>
      <c r="C1912" s="27" t="s">
        <v>38</v>
      </c>
      <c r="D1912" s="27" t="s">
        <v>26</v>
      </c>
      <c r="E1912" s="27" t="s">
        <v>50</v>
      </c>
      <c r="F1912" s="28" t="n">
        <v>2594</v>
      </c>
      <c r="G1912" s="29" t="n">
        <v>3110</v>
      </c>
      <c r="H1912" s="29" t="n">
        <f aca="false">F1912*G1912</f>
        <v>8067340</v>
      </c>
    </row>
    <row r="1913" customFormat="false" ht="15" hidden="false" customHeight="false" outlineLevel="0" collapsed="false">
      <c r="A1913" s="27" t="n">
        <v>2025</v>
      </c>
      <c r="B1913" s="27" t="n">
        <v>8</v>
      </c>
      <c r="C1913" s="27" t="s">
        <v>38</v>
      </c>
      <c r="D1913" s="27" t="s">
        <v>26</v>
      </c>
      <c r="E1913" s="27" t="s">
        <v>52</v>
      </c>
      <c r="F1913" s="28" t="n">
        <v>1542</v>
      </c>
      <c r="G1913" s="29" t="n">
        <v>3070</v>
      </c>
      <c r="H1913" s="29" t="n">
        <f aca="false">F1913*G1913</f>
        <v>4733940</v>
      </c>
    </row>
    <row r="1914" customFormat="false" ht="15" hidden="false" customHeight="false" outlineLevel="0" collapsed="false">
      <c r="A1914" s="27" t="n">
        <v>2025</v>
      </c>
      <c r="B1914" s="27" t="n">
        <v>8</v>
      </c>
      <c r="C1914" s="27" t="s">
        <v>38</v>
      </c>
      <c r="D1914" s="27" t="s">
        <v>26</v>
      </c>
      <c r="E1914" s="27" t="s">
        <v>54</v>
      </c>
      <c r="F1914" s="28" t="n">
        <v>1217</v>
      </c>
      <c r="G1914" s="29" t="n">
        <v>3060</v>
      </c>
      <c r="H1914" s="29" t="n">
        <f aca="false">F1914*G1914</f>
        <v>3724020</v>
      </c>
    </row>
    <row r="1915" customFormat="false" ht="15" hidden="false" customHeight="false" outlineLevel="0" collapsed="false">
      <c r="A1915" s="27" t="n">
        <v>2025</v>
      </c>
      <c r="B1915" s="27" t="n">
        <v>8</v>
      </c>
      <c r="C1915" s="27" t="s">
        <v>38</v>
      </c>
      <c r="D1915" s="27" t="s">
        <v>26</v>
      </c>
      <c r="E1915" s="27" t="s">
        <v>56</v>
      </c>
      <c r="F1915" s="28" t="n">
        <v>1533</v>
      </c>
      <c r="G1915" s="29" t="n">
        <v>3080</v>
      </c>
      <c r="H1915" s="29" t="n">
        <f aca="false">F1915*G1915</f>
        <v>4721640</v>
      </c>
    </row>
    <row r="1916" customFormat="false" ht="15" hidden="false" customHeight="false" outlineLevel="0" collapsed="false">
      <c r="A1916" s="27" t="n">
        <v>2025</v>
      </c>
      <c r="B1916" s="27" t="n">
        <v>8</v>
      </c>
      <c r="C1916" s="27" t="s">
        <v>38</v>
      </c>
      <c r="D1916" s="27" t="s">
        <v>26</v>
      </c>
      <c r="E1916" s="27" t="s">
        <v>58</v>
      </c>
      <c r="F1916" s="28" t="n">
        <v>1018</v>
      </c>
      <c r="G1916" s="29" t="n">
        <v>3040</v>
      </c>
      <c r="H1916" s="29" t="n">
        <f aca="false">F1916*G1916</f>
        <v>3094720</v>
      </c>
    </row>
    <row r="1917" customFormat="false" ht="15" hidden="false" customHeight="false" outlineLevel="0" collapsed="false">
      <c r="A1917" s="27" t="n">
        <v>2025</v>
      </c>
      <c r="B1917" s="27" t="n">
        <v>8</v>
      </c>
      <c r="C1917" s="27" t="s">
        <v>38</v>
      </c>
      <c r="D1917" s="27" t="s">
        <v>28</v>
      </c>
      <c r="E1917" s="27" t="s">
        <v>50</v>
      </c>
      <c r="F1917" s="28" t="n">
        <v>1112</v>
      </c>
      <c r="G1917" s="29" t="n">
        <v>2940</v>
      </c>
      <c r="H1917" s="29" t="n">
        <f aca="false">F1917*G1917</f>
        <v>3269280</v>
      </c>
    </row>
    <row r="1918" customFormat="false" ht="15" hidden="false" customHeight="false" outlineLevel="0" collapsed="false">
      <c r="A1918" s="27" t="n">
        <v>2025</v>
      </c>
      <c r="B1918" s="27" t="n">
        <v>8</v>
      </c>
      <c r="C1918" s="27" t="s">
        <v>38</v>
      </c>
      <c r="D1918" s="27" t="s">
        <v>28</v>
      </c>
      <c r="E1918" s="27" t="s">
        <v>52</v>
      </c>
      <c r="F1918" s="28" t="n">
        <v>724</v>
      </c>
      <c r="G1918" s="29" t="n">
        <v>2860</v>
      </c>
      <c r="H1918" s="29" t="n">
        <f aca="false">F1918*G1918</f>
        <v>2070640</v>
      </c>
    </row>
    <row r="1919" customFormat="false" ht="15" hidden="false" customHeight="false" outlineLevel="0" collapsed="false">
      <c r="A1919" s="27" t="n">
        <v>2025</v>
      </c>
      <c r="B1919" s="27" t="n">
        <v>8</v>
      </c>
      <c r="C1919" s="27" t="s">
        <v>38</v>
      </c>
      <c r="D1919" s="27" t="s">
        <v>28</v>
      </c>
      <c r="E1919" s="27" t="s">
        <v>54</v>
      </c>
      <c r="F1919" s="28" t="n">
        <v>626</v>
      </c>
      <c r="G1919" s="29" t="n">
        <v>2890</v>
      </c>
      <c r="H1919" s="29" t="n">
        <f aca="false">F1919*G1919</f>
        <v>1809140</v>
      </c>
    </row>
    <row r="1920" customFormat="false" ht="15" hidden="false" customHeight="false" outlineLevel="0" collapsed="false">
      <c r="A1920" s="27" t="n">
        <v>2025</v>
      </c>
      <c r="B1920" s="27" t="n">
        <v>8</v>
      </c>
      <c r="C1920" s="27" t="s">
        <v>38</v>
      </c>
      <c r="D1920" s="27" t="s">
        <v>28</v>
      </c>
      <c r="E1920" s="27" t="s">
        <v>56</v>
      </c>
      <c r="F1920" s="28" t="n">
        <v>714</v>
      </c>
      <c r="G1920" s="29" t="n">
        <v>2880</v>
      </c>
      <c r="H1920" s="29" t="n">
        <f aca="false">F1920*G1920</f>
        <v>2056320</v>
      </c>
    </row>
    <row r="1921" customFormat="false" ht="15" hidden="false" customHeight="false" outlineLevel="0" collapsed="false">
      <c r="A1921" s="27" t="n">
        <v>2025</v>
      </c>
      <c r="B1921" s="27" t="n">
        <v>8</v>
      </c>
      <c r="C1921" s="27" t="s">
        <v>38</v>
      </c>
      <c r="D1921" s="27" t="s">
        <v>28</v>
      </c>
      <c r="E1921" s="27" t="s">
        <v>58</v>
      </c>
      <c r="F1921" s="28" t="n">
        <v>467</v>
      </c>
      <c r="G1921" s="29" t="n">
        <v>2880</v>
      </c>
      <c r="H1921" s="29" t="n">
        <f aca="false">F1921*G1921</f>
        <v>1344960</v>
      </c>
    </row>
    <row r="1922" customFormat="false" ht="15" hidden="false" customHeight="false" outlineLevel="0" collapsed="false">
      <c r="A1922" s="27" t="n">
        <v>2025</v>
      </c>
      <c r="B1922" s="27" t="n">
        <v>8</v>
      </c>
      <c r="C1922" s="27" t="s">
        <v>40</v>
      </c>
      <c r="D1922" s="27" t="s">
        <v>22</v>
      </c>
      <c r="E1922" s="27" t="s">
        <v>50</v>
      </c>
      <c r="F1922" s="28" t="n">
        <v>3991</v>
      </c>
      <c r="G1922" s="29" t="n">
        <v>2420</v>
      </c>
      <c r="H1922" s="29" t="n">
        <f aca="false">F1922*G1922</f>
        <v>9658220</v>
      </c>
    </row>
    <row r="1923" customFormat="false" ht="15" hidden="false" customHeight="false" outlineLevel="0" collapsed="false">
      <c r="A1923" s="27" t="n">
        <v>2025</v>
      </c>
      <c r="B1923" s="27" t="n">
        <v>8</v>
      </c>
      <c r="C1923" s="27" t="s">
        <v>40</v>
      </c>
      <c r="D1923" s="27" t="s">
        <v>22</v>
      </c>
      <c r="E1923" s="27" t="s">
        <v>52</v>
      </c>
      <c r="F1923" s="28" t="n">
        <v>2719</v>
      </c>
      <c r="G1923" s="29" t="n">
        <v>2470</v>
      </c>
      <c r="H1923" s="29" t="n">
        <f aca="false">F1923*G1923</f>
        <v>6715930</v>
      </c>
    </row>
    <row r="1924" customFormat="false" ht="15" hidden="false" customHeight="false" outlineLevel="0" collapsed="false">
      <c r="A1924" s="27" t="n">
        <v>2025</v>
      </c>
      <c r="B1924" s="27" t="n">
        <v>8</v>
      </c>
      <c r="C1924" s="27" t="s">
        <v>40</v>
      </c>
      <c r="D1924" s="27" t="s">
        <v>22</v>
      </c>
      <c r="E1924" s="27" t="s">
        <v>54</v>
      </c>
      <c r="F1924" s="28" t="n">
        <v>2153</v>
      </c>
      <c r="G1924" s="29" t="n">
        <v>2370</v>
      </c>
      <c r="H1924" s="29" t="n">
        <f aca="false">F1924*G1924</f>
        <v>5102610</v>
      </c>
    </row>
    <row r="1925" customFormat="false" ht="15" hidden="false" customHeight="false" outlineLevel="0" collapsed="false">
      <c r="A1925" s="27" t="n">
        <v>2025</v>
      </c>
      <c r="B1925" s="27" t="n">
        <v>8</v>
      </c>
      <c r="C1925" s="27" t="s">
        <v>40</v>
      </c>
      <c r="D1925" s="27" t="s">
        <v>22</v>
      </c>
      <c r="E1925" s="27" t="s">
        <v>56</v>
      </c>
      <c r="F1925" s="28" t="n">
        <v>2534</v>
      </c>
      <c r="G1925" s="29" t="n">
        <v>2490</v>
      </c>
      <c r="H1925" s="29" t="n">
        <f aca="false">F1925*G1925</f>
        <v>6309660</v>
      </c>
    </row>
    <row r="1926" customFormat="false" ht="15" hidden="false" customHeight="false" outlineLevel="0" collapsed="false">
      <c r="A1926" s="27" t="n">
        <v>2025</v>
      </c>
      <c r="B1926" s="27" t="n">
        <v>8</v>
      </c>
      <c r="C1926" s="27" t="s">
        <v>40</v>
      </c>
      <c r="D1926" s="27" t="s">
        <v>22</v>
      </c>
      <c r="E1926" s="27" t="s">
        <v>58</v>
      </c>
      <c r="F1926" s="28" t="n">
        <v>1817</v>
      </c>
      <c r="G1926" s="29" t="n">
        <v>2410</v>
      </c>
      <c r="H1926" s="29" t="n">
        <f aca="false">F1926*G1926</f>
        <v>4378970</v>
      </c>
    </row>
    <row r="1927" customFormat="false" ht="15" hidden="false" customHeight="false" outlineLevel="0" collapsed="false">
      <c r="A1927" s="27" t="n">
        <v>2025</v>
      </c>
      <c r="B1927" s="27" t="n">
        <v>8</v>
      </c>
      <c r="C1927" s="27" t="s">
        <v>40</v>
      </c>
      <c r="D1927" s="27" t="s">
        <v>24</v>
      </c>
      <c r="E1927" s="27" t="s">
        <v>50</v>
      </c>
      <c r="F1927" s="28" t="n">
        <v>2555</v>
      </c>
      <c r="G1927" s="29" t="n">
        <v>2240</v>
      </c>
      <c r="H1927" s="29" t="n">
        <f aca="false">F1927*G1927</f>
        <v>5723200</v>
      </c>
    </row>
    <row r="1928" customFormat="false" ht="15" hidden="false" customHeight="false" outlineLevel="0" collapsed="false">
      <c r="A1928" s="27" t="n">
        <v>2025</v>
      </c>
      <c r="B1928" s="27" t="n">
        <v>8</v>
      </c>
      <c r="C1928" s="27" t="s">
        <v>40</v>
      </c>
      <c r="D1928" s="27" t="s">
        <v>24</v>
      </c>
      <c r="E1928" s="27" t="s">
        <v>52</v>
      </c>
      <c r="F1928" s="28" t="n">
        <v>1446</v>
      </c>
      <c r="G1928" s="29" t="n">
        <v>2250</v>
      </c>
      <c r="H1928" s="29" t="n">
        <f aca="false">F1928*G1928</f>
        <v>3253500</v>
      </c>
    </row>
    <row r="1929" customFormat="false" ht="15" hidden="false" customHeight="false" outlineLevel="0" collapsed="false">
      <c r="A1929" s="27" t="n">
        <v>2025</v>
      </c>
      <c r="B1929" s="27" t="n">
        <v>8</v>
      </c>
      <c r="C1929" s="27" t="s">
        <v>40</v>
      </c>
      <c r="D1929" s="27" t="s">
        <v>24</v>
      </c>
      <c r="E1929" s="27" t="s">
        <v>54</v>
      </c>
      <c r="F1929" s="28" t="n">
        <v>1247</v>
      </c>
      <c r="G1929" s="29" t="n">
        <v>2210</v>
      </c>
      <c r="H1929" s="29" t="n">
        <f aca="false">F1929*G1929</f>
        <v>2755870</v>
      </c>
    </row>
    <row r="1930" customFormat="false" ht="15" hidden="false" customHeight="false" outlineLevel="0" collapsed="false">
      <c r="A1930" s="27" t="n">
        <v>2025</v>
      </c>
      <c r="B1930" s="27" t="n">
        <v>8</v>
      </c>
      <c r="C1930" s="27" t="s">
        <v>40</v>
      </c>
      <c r="D1930" s="27" t="s">
        <v>24</v>
      </c>
      <c r="E1930" s="27" t="s">
        <v>56</v>
      </c>
      <c r="F1930" s="28" t="n">
        <v>1389</v>
      </c>
      <c r="G1930" s="29" t="n">
        <v>2260</v>
      </c>
      <c r="H1930" s="29" t="n">
        <f aca="false">F1930*G1930</f>
        <v>3139140</v>
      </c>
    </row>
    <row r="1931" customFormat="false" ht="15" hidden="false" customHeight="false" outlineLevel="0" collapsed="false">
      <c r="A1931" s="27" t="n">
        <v>2025</v>
      </c>
      <c r="B1931" s="27" t="n">
        <v>8</v>
      </c>
      <c r="C1931" s="27" t="s">
        <v>40</v>
      </c>
      <c r="D1931" s="27" t="s">
        <v>24</v>
      </c>
      <c r="E1931" s="27" t="s">
        <v>58</v>
      </c>
      <c r="F1931" s="28" t="n">
        <v>988</v>
      </c>
      <c r="G1931" s="29" t="n">
        <v>2270</v>
      </c>
      <c r="H1931" s="29" t="n">
        <f aca="false">F1931*G1931</f>
        <v>2242760</v>
      </c>
    </row>
    <row r="1932" customFormat="false" ht="15" hidden="false" customHeight="false" outlineLevel="0" collapsed="false">
      <c r="A1932" s="27" t="n">
        <v>2025</v>
      </c>
      <c r="B1932" s="27" t="n">
        <v>8</v>
      </c>
      <c r="C1932" s="27" t="s">
        <v>40</v>
      </c>
      <c r="D1932" s="27" t="s">
        <v>26</v>
      </c>
      <c r="E1932" s="27" t="s">
        <v>50</v>
      </c>
      <c r="F1932" s="28" t="n">
        <v>1187</v>
      </c>
      <c r="G1932" s="29" t="n">
        <v>2740</v>
      </c>
      <c r="H1932" s="29" t="n">
        <f aca="false">F1932*G1932</f>
        <v>3252380</v>
      </c>
    </row>
    <row r="1933" customFormat="false" ht="15" hidden="false" customHeight="false" outlineLevel="0" collapsed="false">
      <c r="A1933" s="27" t="n">
        <v>2025</v>
      </c>
      <c r="B1933" s="27" t="n">
        <v>8</v>
      </c>
      <c r="C1933" s="27" t="s">
        <v>40</v>
      </c>
      <c r="D1933" s="27" t="s">
        <v>26</v>
      </c>
      <c r="E1933" s="27" t="s">
        <v>52</v>
      </c>
      <c r="F1933" s="28" t="n">
        <v>743</v>
      </c>
      <c r="G1933" s="29" t="n">
        <v>2760</v>
      </c>
      <c r="H1933" s="29" t="n">
        <f aca="false">F1933*G1933</f>
        <v>2050680</v>
      </c>
    </row>
    <row r="1934" customFormat="false" ht="15" hidden="false" customHeight="false" outlineLevel="0" collapsed="false">
      <c r="A1934" s="27" t="n">
        <v>2025</v>
      </c>
      <c r="B1934" s="27" t="n">
        <v>8</v>
      </c>
      <c r="C1934" s="27" t="s">
        <v>40</v>
      </c>
      <c r="D1934" s="27" t="s">
        <v>26</v>
      </c>
      <c r="E1934" s="27" t="s">
        <v>54</v>
      </c>
      <c r="F1934" s="28" t="n">
        <v>578</v>
      </c>
      <c r="G1934" s="29" t="n">
        <v>2690</v>
      </c>
      <c r="H1934" s="29" t="n">
        <f aca="false">F1934*G1934</f>
        <v>1554820</v>
      </c>
    </row>
    <row r="1935" customFormat="false" ht="15" hidden="false" customHeight="false" outlineLevel="0" collapsed="false">
      <c r="A1935" s="27" t="n">
        <v>2025</v>
      </c>
      <c r="B1935" s="27" t="n">
        <v>8</v>
      </c>
      <c r="C1935" s="27" t="s">
        <v>40</v>
      </c>
      <c r="D1935" s="27" t="s">
        <v>26</v>
      </c>
      <c r="E1935" s="27" t="s">
        <v>56</v>
      </c>
      <c r="F1935" s="28" t="n">
        <v>766</v>
      </c>
      <c r="G1935" s="29" t="n">
        <v>2760</v>
      </c>
      <c r="H1935" s="29" t="n">
        <f aca="false">F1935*G1935</f>
        <v>2114160</v>
      </c>
    </row>
    <row r="1936" customFormat="false" ht="15" hidden="false" customHeight="false" outlineLevel="0" collapsed="false">
      <c r="A1936" s="27" t="n">
        <v>2025</v>
      </c>
      <c r="B1936" s="27" t="n">
        <v>8</v>
      </c>
      <c r="C1936" s="27" t="s">
        <v>40</v>
      </c>
      <c r="D1936" s="27" t="s">
        <v>26</v>
      </c>
      <c r="E1936" s="27" t="s">
        <v>58</v>
      </c>
      <c r="F1936" s="28" t="n">
        <v>522</v>
      </c>
      <c r="G1936" s="29" t="n">
        <v>2730</v>
      </c>
      <c r="H1936" s="29" t="n">
        <f aca="false">F1936*G1936</f>
        <v>1425060</v>
      </c>
    </row>
    <row r="1937" customFormat="false" ht="15" hidden="false" customHeight="false" outlineLevel="0" collapsed="false">
      <c r="A1937" s="27" t="n">
        <v>2025</v>
      </c>
      <c r="B1937" s="27" t="n">
        <v>8</v>
      </c>
      <c r="C1937" s="27" t="s">
        <v>40</v>
      </c>
      <c r="D1937" s="27" t="s">
        <v>28</v>
      </c>
      <c r="E1937" s="27" t="s">
        <v>50</v>
      </c>
      <c r="F1937" s="28" t="n">
        <v>597</v>
      </c>
      <c r="G1937" s="29" t="n">
        <v>2520</v>
      </c>
      <c r="H1937" s="29" t="n">
        <f aca="false">F1937*G1937</f>
        <v>1504440</v>
      </c>
    </row>
    <row r="1938" customFormat="false" ht="15" hidden="false" customHeight="false" outlineLevel="0" collapsed="false">
      <c r="A1938" s="27" t="n">
        <v>2025</v>
      </c>
      <c r="B1938" s="27" t="n">
        <v>8</v>
      </c>
      <c r="C1938" s="27" t="s">
        <v>40</v>
      </c>
      <c r="D1938" s="27" t="s">
        <v>28</v>
      </c>
      <c r="E1938" s="27" t="s">
        <v>52</v>
      </c>
      <c r="F1938" s="28" t="n">
        <v>364</v>
      </c>
      <c r="G1938" s="29" t="n">
        <v>2520</v>
      </c>
      <c r="H1938" s="29" t="n">
        <f aca="false">F1938*G1938</f>
        <v>917280</v>
      </c>
    </row>
    <row r="1939" customFormat="false" ht="15" hidden="false" customHeight="false" outlineLevel="0" collapsed="false">
      <c r="A1939" s="27" t="n">
        <v>2025</v>
      </c>
      <c r="B1939" s="27" t="n">
        <v>8</v>
      </c>
      <c r="C1939" s="27" t="s">
        <v>40</v>
      </c>
      <c r="D1939" s="27" t="s">
        <v>28</v>
      </c>
      <c r="E1939" s="27" t="s">
        <v>54</v>
      </c>
      <c r="F1939" s="28" t="n">
        <v>279</v>
      </c>
      <c r="G1939" s="29" t="n">
        <v>2560</v>
      </c>
      <c r="H1939" s="29" t="n">
        <f aca="false">F1939*G1939</f>
        <v>714240</v>
      </c>
    </row>
    <row r="1940" customFormat="false" ht="15" hidden="false" customHeight="false" outlineLevel="0" collapsed="false">
      <c r="A1940" s="27" t="n">
        <v>2025</v>
      </c>
      <c r="B1940" s="27" t="n">
        <v>8</v>
      </c>
      <c r="C1940" s="27" t="s">
        <v>40</v>
      </c>
      <c r="D1940" s="27" t="s">
        <v>28</v>
      </c>
      <c r="E1940" s="27" t="s">
        <v>56</v>
      </c>
      <c r="F1940" s="28" t="n">
        <v>334</v>
      </c>
      <c r="G1940" s="29" t="n">
        <v>2560</v>
      </c>
      <c r="H1940" s="29" t="n">
        <f aca="false">F1940*G1940</f>
        <v>855040</v>
      </c>
    </row>
    <row r="1941" customFormat="false" ht="15" hidden="false" customHeight="false" outlineLevel="0" collapsed="false">
      <c r="A1941" s="27" t="n">
        <v>2025</v>
      </c>
      <c r="B1941" s="27" t="n">
        <v>8</v>
      </c>
      <c r="C1941" s="27" t="s">
        <v>40</v>
      </c>
      <c r="D1941" s="27" t="s">
        <v>28</v>
      </c>
      <c r="E1941" s="27" t="s">
        <v>58</v>
      </c>
      <c r="F1941" s="28" t="n">
        <v>227</v>
      </c>
      <c r="G1941" s="29" t="n">
        <v>2560</v>
      </c>
      <c r="H1941" s="29" t="n">
        <f aca="false">F1941*G1941</f>
        <v>581120</v>
      </c>
    </row>
    <row r="1942" customFormat="false" ht="15" hidden="false" customHeight="false" outlineLevel="0" collapsed="false">
      <c r="A1942" s="27" t="n">
        <v>2025</v>
      </c>
      <c r="B1942" s="27" t="n">
        <v>8</v>
      </c>
      <c r="C1942" s="27" t="s">
        <v>42</v>
      </c>
      <c r="D1942" s="27" t="s">
        <v>22</v>
      </c>
      <c r="E1942" s="27" t="s">
        <v>50</v>
      </c>
      <c r="F1942" s="28" t="n">
        <v>4638</v>
      </c>
      <c r="G1942" s="29" t="n">
        <v>2250</v>
      </c>
      <c r="H1942" s="29" t="n">
        <f aca="false">F1942*G1942</f>
        <v>10435500</v>
      </c>
    </row>
    <row r="1943" customFormat="false" ht="15" hidden="false" customHeight="false" outlineLevel="0" collapsed="false">
      <c r="A1943" s="27" t="n">
        <v>2025</v>
      </c>
      <c r="B1943" s="27" t="n">
        <v>8</v>
      </c>
      <c r="C1943" s="27" t="s">
        <v>42</v>
      </c>
      <c r="D1943" s="27" t="s">
        <v>22</v>
      </c>
      <c r="E1943" s="27" t="s">
        <v>52</v>
      </c>
      <c r="F1943" s="28" t="n">
        <v>3019</v>
      </c>
      <c r="G1943" s="29" t="n">
        <v>2240</v>
      </c>
      <c r="H1943" s="29" t="n">
        <f aca="false">F1943*G1943</f>
        <v>6762560</v>
      </c>
    </row>
    <row r="1944" customFormat="false" ht="15" hidden="false" customHeight="false" outlineLevel="0" collapsed="false">
      <c r="A1944" s="27" t="n">
        <v>2025</v>
      </c>
      <c r="B1944" s="27" t="n">
        <v>8</v>
      </c>
      <c r="C1944" s="27" t="s">
        <v>42</v>
      </c>
      <c r="D1944" s="27" t="s">
        <v>22</v>
      </c>
      <c r="E1944" s="27" t="s">
        <v>54</v>
      </c>
      <c r="F1944" s="28" t="n">
        <v>2287</v>
      </c>
      <c r="G1944" s="29" t="n">
        <v>2220</v>
      </c>
      <c r="H1944" s="29" t="n">
        <f aca="false">F1944*G1944</f>
        <v>5077140</v>
      </c>
    </row>
    <row r="1945" customFormat="false" ht="15" hidden="false" customHeight="false" outlineLevel="0" collapsed="false">
      <c r="A1945" s="27" t="n">
        <v>2025</v>
      </c>
      <c r="B1945" s="27" t="n">
        <v>8</v>
      </c>
      <c r="C1945" s="27" t="s">
        <v>42</v>
      </c>
      <c r="D1945" s="27" t="s">
        <v>22</v>
      </c>
      <c r="E1945" s="27" t="s">
        <v>56</v>
      </c>
      <c r="F1945" s="28" t="n">
        <v>2684</v>
      </c>
      <c r="G1945" s="29" t="n">
        <v>2210</v>
      </c>
      <c r="H1945" s="29" t="n">
        <f aca="false">F1945*G1945</f>
        <v>5931640</v>
      </c>
    </row>
    <row r="1946" customFormat="false" ht="15" hidden="false" customHeight="false" outlineLevel="0" collapsed="false">
      <c r="A1946" s="27" t="n">
        <v>2025</v>
      </c>
      <c r="B1946" s="27" t="n">
        <v>8</v>
      </c>
      <c r="C1946" s="27" t="s">
        <v>42</v>
      </c>
      <c r="D1946" s="27" t="s">
        <v>22</v>
      </c>
      <c r="E1946" s="27" t="s">
        <v>58</v>
      </c>
      <c r="F1946" s="28" t="n">
        <v>1906</v>
      </c>
      <c r="G1946" s="29" t="n">
        <v>2200</v>
      </c>
      <c r="H1946" s="29" t="n">
        <f aca="false">F1946*G1946</f>
        <v>4193200</v>
      </c>
    </row>
    <row r="1947" customFormat="false" ht="15" hidden="false" customHeight="false" outlineLevel="0" collapsed="false">
      <c r="A1947" s="27" t="n">
        <v>2025</v>
      </c>
      <c r="B1947" s="27" t="n">
        <v>8</v>
      </c>
      <c r="C1947" s="27" t="s">
        <v>42</v>
      </c>
      <c r="D1947" s="27" t="s">
        <v>24</v>
      </c>
      <c r="E1947" s="27" t="s">
        <v>50</v>
      </c>
      <c r="F1947" s="28" t="n">
        <v>2585</v>
      </c>
      <c r="G1947" s="29" t="n">
        <v>2030</v>
      </c>
      <c r="H1947" s="29" t="n">
        <f aca="false">F1947*G1947</f>
        <v>5247550</v>
      </c>
    </row>
    <row r="1948" customFormat="false" ht="15" hidden="false" customHeight="false" outlineLevel="0" collapsed="false">
      <c r="A1948" s="27" t="n">
        <v>2025</v>
      </c>
      <c r="B1948" s="27" t="n">
        <v>8</v>
      </c>
      <c r="C1948" s="27" t="s">
        <v>42</v>
      </c>
      <c r="D1948" s="27" t="s">
        <v>24</v>
      </c>
      <c r="E1948" s="27" t="s">
        <v>52</v>
      </c>
      <c r="F1948" s="28" t="n">
        <v>1519</v>
      </c>
      <c r="G1948" s="29" t="n">
        <v>2040</v>
      </c>
      <c r="H1948" s="29" t="n">
        <f aca="false">F1948*G1948</f>
        <v>3098760</v>
      </c>
    </row>
    <row r="1949" customFormat="false" ht="15" hidden="false" customHeight="false" outlineLevel="0" collapsed="false">
      <c r="A1949" s="27" t="n">
        <v>2025</v>
      </c>
      <c r="B1949" s="27" t="n">
        <v>8</v>
      </c>
      <c r="C1949" s="27" t="s">
        <v>42</v>
      </c>
      <c r="D1949" s="27" t="s">
        <v>24</v>
      </c>
      <c r="E1949" s="27" t="s">
        <v>54</v>
      </c>
      <c r="F1949" s="28" t="n">
        <v>1419</v>
      </c>
      <c r="G1949" s="29" t="n">
        <v>2030</v>
      </c>
      <c r="H1949" s="29" t="n">
        <f aca="false">F1949*G1949</f>
        <v>2880570</v>
      </c>
    </row>
    <row r="1950" customFormat="false" ht="15" hidden="false" customHeight="false" outlineLevel="0" collapsed="false">
      <c r="A1950" s="27" t="n">
        <v>2025</v>
      </c>
      <c r="B1950" s="27" t="n">
        <v>8</v>
      </c>
      <c r="C1950" s="27" t="s">
        <v>42</v>
      </c>
      <c r="D1950" s="27" t="s">
        <v>24</v>
      </c>
      <c r="E1950" s="27" t="s">
        <v>56</v>
      </c>
      <c r="F1950" s="28" t="n">
        <v>1522</v>
      </c>
      <c r="G1950" s="29" t="n">
        <v>2100</v>
      </c>
      <c r="H1950" s="29" t="n">
        <f aca="false">F1950*G1950</f>
        <v>3196200</v>
      </c>
    </row>
    <row r="1951" customFormat="false" ht="15" hidden="false" customHeight="false" outlineLevel="0" collapsed="false">
      <c r="A1951" s="27" t="n">
        <v>2025</v>
      </c>
      <c r="B1951" s="27" t="n">
        <v>8</v>
      </c>
      <c r="C1951" s="27" t="s">
        <v>42</v>
      </c>
      <c r="D1951" s="27" t="s">
        <v>24</v>
      </c>
      <c r="E1951" s="27" t="s">
        <v>58</v>
      </c>
      <c r="F1951" s="28" t="n">
        <v>1083</v>
      </c>
      <c r="G1951" s="29" t="n">
        <v>2070</v>
      </c>
      <c r="H1951" s="29" t="n">
        <f aca="false">F1951*G1951</f>
        <v>2241810</v>
      </c>
    </row>
    <row r="1952" customFormat="false" ht="15" hidden="false" customHeight="false" outlineLevel="0" collapsed="false">
      <c r="A1952" s="27" t="n">
        <v>2025</v>
      </c>
      <c r="B1952" s="27" t="n">
        <v>8</v>
      </c>
      <c r="C1952" s="27" t="s">
        <v>42</v>
      </c>
      <c r="D1952" s="27" t="s">
        <v>26</v>
      </c>
      <c r="E1952" s="27" t="s">
        <v>50</v>
      </c>
      <c r="F1952" s="28" t="n">
        <v>1447</v>
      </c>
      <c r="G1952" s="29" t="n">
        <v>2500</v>
      </c>
      <c r="H1952" s="29" t="n">
        <f aca="false">F1952*G1952</f>
        <v>3617500</v>
      </c>
    </row>
    <row r="1953" customFormat="false" ht="15" hidden="false" customHeight="false" outlineLevel="0" collapsed="false">
      <c r="A1953" s="27" t="n">
        <v>2025</v>
      </c>
      <c r="B1953" s="27" t="n">
        <v>8</v>
      </c>
      <c r="C1953" s="27" t="s">
        <v>42</v>
      </c>
      <c r="D1953" s="27" t="s">
        <v>26</v>
      </c>
      <c r="E1953" s="27" t="s">
        <v>52</v>
      </c>
      <c r="F1953" s="28" t="n">
        <v>809</v>
      </c>
      <c r="G1953" s="29" t="n">
        <v>2480</v>
      </c>
      <c r="H1953" s="29" t="n">
        <f aca="false">F1953*G1953</f>
        <v>2006320</v>
      </c>
    </row>
    <row r="1954" customFormat="false" ht="15" hidden="false" customHeight="false" outlineLevel="0" collapsed="false">
      <c r="A1954" s="27" t="n">
        <v>2025</v>
      </c>
      <c r="B1954" s="27" t="n">
        <v>8</v>
      </c>
      <c r="C1954" s="27" t="s">
        <v>42</v>
      </c>
      <c r="D1954" s="27" t="s">
        <v>26</v>
      </c>
      <c r="E1954" s="27" t="s">
        <v>54</v>
      </c>
      <c r="F1954" s="28" t="n">
        <v>644</v>
      </c>
      <c r="G1954" s="29" t="n">
        <v>2540</v>
      </c>
      <c r="H1954" s="29" t="n">
        <f aca="false">F1954*G1954</f>
        <v>1635760</v>
      </c>
    </row>
    <row r="1955" customFormat="false" ht="15" hidden="false" customHeight="false" outlineLevel="0" collapsed="false">
      <c r="A1955" s="27" t="n">
        <v>2025</v>
      </c>
      <c r="B1955" s="27" t="n">
        <v>8</v>
      </c>
      <c r="C1955" s="27" t="s">
        <v>42</v>
      </c>
      <c r="D1955" s="27" t="s">
        <v>26</v>
      </c>
      <c r="E1955" s="27" t="s">
        <v>56</v>
      </c>
      <c r="F1955" s="28" t="n">
        <v>766</v>
      </c>
      <c r="G1955" s="29" t="n">
        <v>2460</v>
      </c>
      <c r="H1955" s="29" t="n">
        <f aca="false">F1955*G1955</f>
        <v>1884360</v>
      </c>
    </row>
    <row r="1956" customFormat="false" ht="15" hidden="false" customHeight="false" outlineLevel="0" collapsed="false">
      <c r="A1956" s="27" t="n">
        <v>2025</v>
      </c>
      <c r="B1956" s="27" t="n">
        <v>8</v>
      </c>
      <c r="C1956" s="27" t="s">
        <v>42</v>
      </c>
      <c r="D1956" s="27" t="s">
        <v>26</v>
      </c>
      <c r="E1956" s="27" t="s">
        <v>58</v>
      </c>
      <c r="F1956" s="28" t="n">
        <v>540</v>
      </c>
      <c r="G1956" s="29" t="n">
        <v>2440</v>
      </c>
      <c r="H1956" s="29" t="n">
        <f aca="false">F1956*G1956</f>
        <v>1317600</v>
      </c>
    </row>
    <row r="1957" customFormat="false" ht="15" hidden="false" customHeight="false" outlineLevel="0" collapsed="false">
      <c r="A1957" s="27" t="n">
        <v>2025</v>
      </c>
      <c r="B1957" s="27" t="n">
        <v>8</v>
      </c>
      <c r="C1957" s="27" t="s">
        <v>42</v>
      </c>
      <c r="D1957" s="27" t="s">
        <v>28</v>
      </c>
      <c r="E1957" s="27" t="s">
        <v>50</v>
      </c>
      <c r="F1957" s="28" t="n">
        <v>706</v>
      </c>
      <c r="G1957" s="29" t="n">
        <v>2380</v>
      </c>
      <c r="H1957" s="29" t="n">
        <f aca="false">F1957*G1957</f>
        <v>1680280</v>
      </c>
    </row>
    <row r="1958" customFormat="false" ht="15" hidden="false" customHeight="false" outlineLevel="0" collapsed="false">
      <c r="A1958" s="27" t="n">
        <v>2025</v>
      </c>
      <c r="B1958" s="27" t="n">
        <v>8</v>
      </c>
      <c r="C1958" s="27" t="s">
        <v>42</v>
      </c>
      <c r="D1958" s="27" t="s">
        <v>28</v>
      </c>
      <c r="E1958" s="27" t="s">
        <v>52</v>
      </c>
      <c r="F1958" s="28" t="n">
        <v>404</v>
      </c>
      <c r="G1958" s="29" t="n">
        <v>2300</v>
      </c>
      <c r="H1958" s="29" t="n">
        <f aca="false">F1958*G1958</f>
        <v>929200</v>
      </c>
    </row>
    <row r="1959" customFormat="false" ht="15" hidden="false" customHeight="false" outlineLevel="0" collapsed="false">
      <c r="A1959" s="27" t="n">
        <v>2025</v>
      </c>
      <c r="B1959" s="27" t="n">
        <v>8</v>
      </c>
      <c r="C1959" s="27" t="s">
        <v>42</v>
      </c>
      <c r="D1959" s="27" t="s">
        <v>28</v>
      </c>
      <c r="E1959" s="27" t="s">
        <v>54</v>
      </c>
      <c r="F1959" s="28" t="n">
        <v>294</v>
      </c>
      <c r="G1959" s="29" t="n">
        <v>2320</v>
      </c>
      <c r="H1959" s="29" t="n">
        <f aca="false">F1959*G1959</f>
        <v>682080</v>
      </c>
    </row>
    <row r="1960" customFormat="false" ht="15" hidden="false" customHeight="false" outlineLevel="0" collapsed="false">
      <c r="A1960" s="27" t="n">
        <v>2025</v>
      </c>
      <c r="B1960" s="27" t="n">
        <v>8</v>
      </c>
      <c r="C1960" s="27" t="s">
        <v>42</v>
      </c>
      <c r="D1960" s="27" t="s">
        <v>28</v>
      </c>
      <c r="E1960" s="27" t="s">
        <v>56</v>
      </c>
      <c r="F1960" s="28" t="n">
        <v>387</v>
      </c>
      <c r="G1960" s="29" t="n">
        <v>2310</v>
      </c>
      <c r="H1960" s="29" t="n">
        <f aca="false">F1960*G1960</f>
        <v>893970</v>
      </c>
    </row>
    <row r="1961" customFormat="false" ht="15" hidden="false" customHeight="false" outlineLevel="0" collapsed="false">
      <c r="A1961" s="27" t="n">
        <v>2025</v>
      </c>
      <c r="B1961" s="27" t="n">
        <v>8</v>
      </c>
      <c r="C1961" s="27" t="s">
        <v>42</v>
      </c>
      <c r="D1961" s="27" t="s">
        <v>28</v>
      </c>
      <c r="E1961" s="27" t="s">
        <v>58</v>
      </c>
      <c r="F1961" s="28" t="n">
        <v>272</v>
      </c>
      <c r="G1961" s="29" t="n">
        <v>2340</v>
      </c>
      <c r="H1961" s="29" t="n">
        <f aca="false">F1961*G1961</f>
        <v>636480</v>
      </c>
    </row>
    <row r="1962" customFormat="false" ht="15" hidden="false" customHeight="false" outlineLevel="0" collapsed="false">
      <c r="A1962" s="27" t="n">
        <v>2025</v>
      </c>
      <c r="B1962" s="27" t="n">
        <v>8</v>
      </c>
      <c r="C1962" s="27" t="s">
        <v>44</v>
      </c>
      <c r="D1962" s="27" t="s">
        <v>22</v>
      </c>
      <c r="E1962" s="27" t="s">
        <v>50</v>
      </c>
      <c r="F1962" s="28" t="n">
        <v>3262</v>
      </c>
      <c r="G1962" s="29" t="n">
        <v>4100</v>
      </c>
      <c r="H1962" s="29" t="n">
        <f aca="false">F1962*G1962</f>
        <v>13374200</v>
      </c>
    </row>
    <row r="1963" customFormat="false" ht="15" hidden="false" customHeight="false" outlineLevel="0" collapsed="false">
      <c r="A1963" s="27" t="n">
        <v>2025</v>
      </c>
      <c r="B1963" s="27" t="n">
        <v>8</v>
      </c>
      <c r="C1963" s="27" t="s">
        <v>44</v>
      </c>
      <c r="D1963" s="27" t="s">
        <v>22</v>
      </c>
      <c r="E1963" s="27" t="s">
        <v>52</v>
      </c>
      <c r="F1963" s="28" t="n">
        <v>1896</v>
      </c>
      <c r="G1963" s="29" t="n">
        <v>4140</v>
      </c>
      <c r="H1963" s="29" t="n">
        <f aca="false">F1963*G1963</f>
        <v>7849440</v>
      </c>
    </row>
    <row r="1964" customFormat="false" ht="15" hidden="false" customHeight="false" outlineLevel="0" collapsed="false">
      <c r="A1964" s="27" t="n">
        <v>2025</v>
      </c>
      <c r="B1964" s="27" t="n">
        <v>8</v>
      </c>
      <c r="C1964" s="27" t="s">
        <v>44</v>
      </c>
      <c r="D1964" s="27" t="s">
        <v>22</v>
      </c>
      <c r="E1964" s="27" t="s">
        <v>54</v>
      </c>
      <c r="F1964" s="28" t="n">
        <v>1606</v>
      </c>
      <c r="G1964" s="29" t="n">
        <v>4150</v>
      </c>
      <c r="H1964" s="29" t="n">
        <f aca="false">F1964*G1964</f>
        <v>6664900</v>
      </c>
    </row>
    <row r="1965" customFormat="false" ht="15" hidden="false" customHeight="false" outlineLevel="0" collapsed="false">
      <c r="A1965" s="27" t="n">
        <v>2025</v>
      </c>
      <c r="B1965" s="27" t="n">
        <v>8</v>
      </c>
      <c r="C1965" s="27" t="s">
        <v>44</v>
      </c>
      <c r="D1965" s="27" t="s">
        <v>22</v>
      </c>
      <c r="E1965" s="27" t="s">
        <v>56</v>
      </c>
      <c r="F1965" s="28" t="n">
        <v>1981</v>
      </c>
      <c r="G1965" s="29" t="n">
        <v>4060</v>
      </c>
      <c r="H1965" s="29" t="n">
        <f aca="false">F1965*G1965</f>
        <v>8042860</v>
      </c>
    </row>
    <row r="1966" customFormat="false" ht="15" hidden="false" customHeight="false" outlineLevel="0" collapsed="false">
      <c r="A1966" s="27" t="n">
        <v>2025</v>
      </c>
      <c r="B1966" s="27" t="n">
        <v>8</v>
      </c>
      <c r="C1966" s="27" t="s">
        <v>44</v>
      </c>
      <c r="D1966" s="27" t="s">
        <v>22</v>
      </c>
      <c r="E1966" s="27" t="s">
        <v>58</v>
      </c>
      <c r="F1966" s="28" t="n">
        <v>1211</v>
      </c>
      <c r="G1966" s="29" t="n">
        <v>4080</v>
      </c>
      <c r="H1966" s="29" t="n">
        <f aca="false">F1966*G1966</f>
        <v>4940880</v>
      </c>
    </row>
    <row r="1967" customFormat="false" ht="15" hidden="false" customHeight="false" outlineLevel="0" collapsed="false">
      <c r="A1967" s="27" t="n">
        <v>2025</v>
      </c>
      <c r="B1967" s="27" t="n">
        <v>8</v>
      </c>
      <c r="C1967" s="27" t="s">
        <v>44</v>
      </c>
      <c r="D1967" s="27" t="s">
        <v>24</v>
      </c>
      <c r="E1967" s="27" t="s">
        <v>50</v>
      </c>
      <c r="F1967" s="28" t="n">
        <v>1761</v>
      </c>
      <c r="G1967" s="29" t="n">
        <v>3860</v>
      </c>
      <c r="H1967" s="29" t="n">
        <f aca="false">F1967*G1967</f>
        <v>6797460</v>
      </c>
    </row>
    <row r="1968" customFormat="false" ht="15" hidden="false" customHeight="false" outlineLevel="0" collapsed="false">
      <c r="A1968" s="27" t="n">
        <v>2025</v>
      </c>
      <c r="B1968" s="27" t="n">
        <v>8</v>
      </c>
      <c r="C1968" s="27" t="s">
        <v>44</v>
      </c>
      <c r="D1968" s="27" t="s">
        <v>24</v>
      </c>
      <c r="E1968" s="27" t="s">
        <v>52</v>
      </c>
      <c r="F1968" s="28" t="n">
        <v>1182</v>
      </c>
      <c r="G1968" s="29" t="n">
        <v>3870</v>
      </c>
      <c r="H1968" s="29" t="n">
        <f aca="false">F1968*G1968</f>
        <v>4574340</v>
      </c>
    </row>
    <row r="1969" customFormat="false" ht="15" hidden="false" customHeight="false" outlineLevel="0" collapsed="false">
      <c r="A1969" s="27" t="n">
        <v>2025</v>
      </c>
      <c r="B1969" s="27" t="n">
        <v>8</v>
      </c>
      <c r="C1969" s="27" t="s">
        <v>44</v>
      </c>
      <c r="D1969" s="27" t="s">
        <v>24</v>
      </c>
      <c r="E1969" s="27" t="s">
        <v>54</v>
      </c>
      <c r="F1969" s="28" t="n">
        <v>948</v>
      </c>
      <c r="G1969" s="29" t="n">
        <v>3830</v>
      </c>
      <c r="H1969" s="29" t="n">
        <f aca="false">F1969*G1969</f>
        <v>3630840</v>
      </c>
    </row>
    <row r="1970" customFormat="false" ht="15" hidden="false" customHeight="false" outlineLevel="0" collapsed="false">
      <c r="A1970" s="27" t="n">
        <v>2025</v>
      </c>
      <c r="B1970" s="27" t="n">
        <v>8</v>
      </c>
      <c r="C1970" s="27" t="s">
        <v>44</v>
      </c>
      <c r="D1970" s="27" t="s">
        <v>24</v>
      </c>
      <c r="E1970" s="27" t="s">
        <v>56</v>
      </c>
      <c r="F1970" s="28" t="n">
        <v>1170</v>
      </c>
      <c r="G1970" s="29" t="n">
        <v>3840</v>
      </c>
      <c r="H1970" s="29" t="n">
        <f aca="false">F1970*G1970</f>
        <v>4492800</v>
      </c>
    </row>
    <row r="1971" customFormat="false" ht="15" hidden="false" customHeight="false" outlineLevel="0" collapsed="false">
      <c r="A1971" s="27" t="n">
        <v>2025</v>
      </c>
      <c r="B1971" s="27" t="n">
        <v>8</v>
      </c>
      <c r="C1971" s="27" t="s">
        <v>44</v>
      </c>
      <c r="D1971" s="27" t="s">
        <v>24</v>
      </c>
      <c r="E1971" s="27" t="s">
        <v>58</v>
      </c>
      <c r="F1971" s="28" t="n">
        <v>758</v>
      </c>
      <c r="G1971" s="29" t="n">
        <v>3880</v>
      </c>
      <c r="H1971" s="29" t="n">
        <f aca="false">F1971*G1971</f>
        <v>2941040</v>
      </c>
    </row>
    <row r="1972" customFormat="false" ht="15" hidden="false" customHeight="false" outlineLevel="0" collapsed="false">
      <c r="A1972" s="27" t="n">
        <v>2025</v>
      </c>
      <c r="B1972" s="27" t="n">
        <v>8</v>
      </c>
      <c r="C1972" s="27" t="s">
        <v>44</v>
      </c>
      <c r="D1972" s="27" t="s">
        <v>26</v>
      </c>
      <c r="E1972" s="27" t="s">
        <v>50</v>
      </c>
      <c r="F1972" s="28" t="n">
        <v>952</v>
      </c>
      <c r="G1972" s="29" t="n">
        <v>4590</v>
      </c>
      <c r="H1972" s="29" t="n">
        <f aca="false">F1972*G1972</f>
        <v>4369680</v>
      </c>
    </row>
    <row r="1973" customFormat="false" ht="15" hidden="false" customHeight="false" outlineLevel="0" collapsed="false">
      <c r="A1973" s="27" t="n">
        <v>2025</v>
      </c>
      <c r="B1973" s="27" t="n">
        <v>8</v>
      </c>
      <c r="C1973" s="27" t="s">
        <v>44</v>
      </c>
      <c r="D1973" s="27" t="s">
        <v>26</v>
      </c>
      <c r="E1973" s="27" t="s">
        <v>52</v>
      </c>
      <c r="F1973" s="28" t="n">
        <v>567</v>
      </c>
      <c r="G1973" s="29" t="n">
        <v>4640</v>
      </c>
      <c r="H1973" s="29" t="n">
        <f aca="false">F1973*G1973</f>
        <v>2630880</v>
      </c>
    </row>
    <row r="1974" customFormat="false" ht="15" hidden="false" customHeight="false" outlineLevel="0" collapsed="false">
      <c r="A1974" s="27" t="n">
        <v>2025</v>
      </c>
      <c r="B1974" s="27" t="n">
        <v>8</v>
      </c>
      <c r="C1974" s="27" t="s">
        <v>44</v>
      </c>
      <c r="D1974" s="27" t="s">
        <v>26</v>
      </c>
      <c r="E1974" s="27" t="s">
        <v>54</v>
      </c>
      <c r="F1974" s="28" t="n">
        <v>503</v>
      </c>
      <c r="G1974" s="29" t="n">
        <v>4610</v>
      </c>
      <c r="H1974" s="29" t="n">
        <f aca="false">F1974*G1974</f>
        <v>2318830</v>
      </c>
    </row>
    <row r="1975" customFormat="false" ht="15" hidden="false" customHeight="false" outlineLevel="0" collapsed="false">
      <c r="A1975" s="27" t="n">
        <v>2025</v>
      </c>
      <c r="B1975" s="27" t="n">
        <v>8</v>
      </c>
      <c r="C1975" s="27" t="s">
        <v>44</v>
      </c>
      <c r="D1975" s="27" t="s">
        <v>26</v>
      </c>
      <c r="E1975" s="27" t="s">
        <v>56</v>
      </c>
      <c r="F1975" s="28" t="n">
        <v>599</v>
      </c>
      <c r="G1975" s="29" t="n">
        <v>4520</v>
      </c>
      <c r="H1975" s="29" t="n">
        <f aca="false">F1975*G1975</f>
        <v>2707480</v>
      </c>
    </row>
    <row r="1976" customFormat="false" ht="15" hidden="false" customHeight="false" outlineLevel="0" collapsed="false">
      <c r="A1976" s="27" t="n">
        <v>2025</v>
      </c>
      <c r="B1976" s="27" t="n">
        <v>8</v>
      </c>
      <c r="C1976" s="27" t="s">
        <v>44</v>
      </c>
      <c r="D1976" s="27" t="s">
        <v>26</v>
      </c>
      <c r="E1976" s="27" t="s">
        <v>58</v>
      </c>
      <c r="F1976" s="28" t="n">
        <v>383</v>
      </c>
      <c r="G1976" s="29" t="n">
        <v>4610</v>
      </c>
      <c r="H1976" s="29" t="n">
        <f aca="false">F1976*G1976</f>
        <v>1765630</v>
      </c>
    </row>
    <row r="1977" customFormat="false" ht="15" hidden="false" customHeight="false" outlineLevel="0" collapsed="false">
      <c r="A1977" s="27" t="n">
        <v>2025</v>
      </c>
      <c r="B1977" s="27" t="n">
        <v>8</v>
      </c>
      <c r="C1977" s="27" t="s">
        <v>44</v>
      </c>
      <c r="D1977" s="27" t="s">
        <v>28</v>
      </c>
      <c r="E1977" s="27" t="s">
        <v>50</v>
      </c>
      <c r="F1977" s="28" t="n">
        <v>431</v>
      </c>
      <c r="G1977" s="29" t="n">
        <v>4420</v>
      </c>
      <c r="H1977" s="29" t="n">
        <f aca="false">F1977*G1977</f>
        <v>1905020</v>
      </c>
    </row>
    <row r="1978" customFormat="false" ht="15" hidden="false" customHeight="false" outlineLevel="0" collapsed="false">
      <c r="A1978" s="27" t="n">
        <v>2025</v>
      </c>
      <c r="B1978" s="27" t="n">
        <v>8</v>
      </c>
      <c r="C1978" s="27" t="s">
        <v>44</v>
      </c>
      <c r="D1978" s="27" t="s">
        <v>28</v>
      </c>
      <c r="E1978" s="27" t="s">
        <v>52</v>
      </c>
      <c r="F1978" s="28" t="n">
        <v>278</v>
      </c>
      <c r="G1978" s="29" t="n">
        <v>4300</v>
      </c>
      <c r="H1978" s="29" t="n">
        <f aca="false">F1978*G1978</f>
        <v>1195400</v>
      </c>
    </row>
    <row r="1979" customFormat="false" ht="15" hidden="false" customHeight="false" outlineLevel="0" collapsed="false">
      <c r="A1979" s="27" t="n">
        <v>2025</v>
      </c>
      <c r="B1979" s="27" t="n">
        <v>8</v>
      </c>
      <c r="C1979" s="27" t="s">
        <v>44</v>
      </c>
      <c r="D1979" s="27" t="s">
        <v>28</v>
      </c>
      <c r="E1979" s="27" t="s">
        <v>54</v>
      </c>
      <c r="F1979" s="28" t="n">
        <v>224</v>
      </c>
      <c r="G1979" s="29" t="n">
        <v>4230</v>
      </c>
      <c r="H1979" s="29" t="n">
        <f aca="false">F1979*G1979</f>
        <v>947520</v>
      </c>
    </row>
    <row r="1980" customFormat="false" ht="15" hidden="false" customHeight="false" outlineLevel="0" collapsed="false">
      <c r="A1980" s="27" t="n">
        <v>2025</v>
      </c>
      <c r="B1980" s="27" t="n">
        <v>8</v>
      </c>
      <c r="C1980" s="27" t="s">
        <v>44</v>
      </c>
      <c r="D1980" s="27" t="s">
        <v>28</v>
      </c>
      <c r="E1980" s="27" t="s">
        <v>56</v>
      </c>
      <c r="F1980" s="28" t="n">
        <v>255</v>
      </c>
      <c r="G1980" s="29" t="n">
        <v>4360</v>
      </c>
      <c r="H1980" s="29" t="n">
        <f aca="false">F1980*G1980</f>
        <v>1111800</v>
      </c>
    </row>
    <row r="1981" customFormat="false" ht="15" hidden="false" customHeight="false" outlineLevel="0" collapsed="false">
      <c r="A1981" s="27" t="n">
        <v>2025</v>
      </c>
      <c r="B1981" s="27" t="n">
        <v>8</v>
      </c>
      <c r="C1981" s="27" t="s">
        <v>44</v>
      </c>
      <c r="D1981" s="27" t="s">
        <v>28</v>
      </c>
      <c r="E1981" s="27" t="s">
        <v>58</v>
      </c>
      <c r="F1981" s="28" t="n">
        <v>176</v>
      </c>
      <c r="G1981" s="29" t="n">
        <v>4280</v>
      </c>
      <c r="H1981" s="29" t="n">
        <f aca="false">F1981*G1981</f>
        <v>753280</v>
      </c>
    </row>
    <row r="1982" customFormat="false" ht="15" hidden="false" customHeight="false" outlineLevel="0" collapsed="false">
      <c r="A1982" s="27" t="n">
        <v>2025</v>
      </c>
      <c r="B1982" s="27" t="n">
        <v>8</v>
      </c>
      <c r="C1982" s="27" t="s">
        <v>45</v>
      </c>
      <c r="D1982" s="27" t="s">
        <v>22</v>
      </c>
      <c r="E1982" s="27" t="s">
        <v>50</v>
      </c>
      <c r="F1982" s="28" t="n">
        <v>3508</v>
      </c>
      <c r="G1982" s="29" t="n">
        <v>2570</v>
      </c>
      <c r="H1982" s="29" t="n">
        <f aca="false">F1982*G1982</f>
        <v>9015560</v>
      </c>
    </row>
    <row r="1983" customFormat="false" ht="15" hidden="false" customHeight="false" outlineLevel="0" collapsed="false">
      <c r="A1983" s="27" t="n">
        <v>2025</v>
      </c>
      <c r="B1983" s="27" t="n">
        <v>8</v>
      </c>
      <c r="C1983" s="27" t="s">
        <v>45</v>
      </c>
      <c r="D1983" s="27" t="s">
        <v>22</v>
      </c>
      <c r="E1983" s="27" t="s">
        <v>52</v>
      </c>
      <c r="F1983" s="28" t="n">
        <v>2111</v>
      </c>
      <c r="G1983" s="29" t="n">
        <v>2520</v>
      </c>
      <c r="H1983" s="29" t="n">
        <f aca="false">F1983*G1983</f>
        <v>5319720</v>
      </c>
    </row>
    <row r="1984" customFormat="false" ht="15" hidden="false" customHeight="false" outlineLevel="0" collapsed="false">
      <c r="A1984" s="27" t="n">
        <v>2025</v>
      </c>
      <c r="B1984" s="27" t="n">
        <v>8</v>
      </c>
      <c r="C1984" s="27" t="s">
        <v>45</v>
      </c>
      <c r="D1984" s="27" t="s">
        <v>22</v>
      </c>
      <c r="E1984" s="27" t="s">
        <v>54</v>
      </c>
      <c r="F1984" s="28" t="n">
        <v>1627</v>
      </c>
      <c r="G1984" s="29" t="n">
        <v>2510</v>
      </c>
      <c r="H1984" s="29" t="n">
        <f aca="false">F1984*G1984</f>
        <v>4083770</v>
      </c>
    </row>
    <row r="1985" customFormat="false" ht="15" hidden="false" customHeight="false" outlineLevel="0" collapsed="false">
      <c r="A1985" s="27" t="n">
        <v>2025</v>
      </c>
      <c r="B1985" s="27" t="n">
        <v>8</v>
      </c>
      <c r="C1985" s="27" t="s">
        <v>45</v>
      </c>
      <c r="D1985" s="27" t="s">
        <v>22</v>
      </c>
      <c r="E1985" s="27" t="s">
        <v>56</v>
      </c>
      <c r="F1985" s="28" t="n">
        <v>1858</v>
      </c>
      <c r="G1985" s="29" t="n">
        <v>2510</v>
      </c>
      <c r="H1985" s="29" t="n">
        <f aca="false">F1985*G1985</f>
        <v>4663580</v>
      </c>
    </row>
    <row r="1986" customFormat="false" ht="15" hidden="false" customHeight="false" outlineLevel="0" collapsed="false">
      <c r="A1986" s="27" t="n">
        <v>2025</v>
      </c>
      <c r="B1986" s="27" t="n">
        <v>8</v>
      </c>
      <c r="C1986" s="27" t="s">
        <v>45</v>
      </c>
      <c r="D1986" s="27" t="s">
        <v>22</v>
      </c>
      <c r="E1986" s="27" t="s">
        <v>58</v>
      </c>
      <c r="F1986" s="28" t="n">
        <v>1296</v>
      </c>
      <c r="G1986" s="29" t="n">
        <v>2510</v>
      </c>
      <c r="H1986" s="29" t="n">
        <f aca="false">F1986*G1986</f>
        <v>3252960</v>
      </c>
    </row>
    <row r="1987" customFormat="false" ht="15" hidden="false" customHeight="false" outlineLevel="0" collapsed="false">
      <c r="A1987" s="27" t="n">
        <v>2025</v>
      </c>
      <c r="B1987" s="27" t="n">
        <v>8</v>
      </c>
      <c r="C1987" s="27" t="s">
        <v>45</v>
      </c>
      <c r="D1987" s="27" t="s">
        <v>24</v>
      </c>
      <c r="E1987" s="27" t="s">
        <v>50</v>
      </c>
      <c r="F1987" s="28" t="n">
        <v>1757</v>
      </c>
      <c r="G1987" s="29" t="n">
        <v>2360</v>
      </c>
      <c r="H1987" s="29" t="n">
        <f aca="false">F1987*G1987</f>
        <v>4146520</v>
      </c>
    </row>
    <row r="1988" customFormat="false" ht="15" hidden="false" customHeight="false" outlineLevel="0" collapsed="false">
      <c r="A1988" s="27" t="n">
        <v>2025</v>
      </c>
      <c r="B1988" s="27" t="n">
        <v>8</v>
      </c>
      <c r="C1988" s="27" t="s">
        <v>45</v>
      </c>
      <c r="D1988" s="27" t="s">
        <v>24</v>
      </c>
      <c r="E1988" s="27" t="s">
        <v>52</v>
      </c>
      <c r="F1988" s="28" t="n">
        <v>1205</v>
      </c>
      <c r="G1988" s="29" t="n">
        <v>2390</v>
      </c>
      <c r="H1988" s="29" t="n">
        <f aca="false">F1988*G1988</f>
        <v>2879950</v>
      </c>
    </row>
    <row r="1989" customFormat="false" ht="15" hidden="false" customHeight="false" outlineLevel="0" collapsed="false">
      <c r="A1989" s="27" t="n">
        <v>2025</v>
      </c>
      <c r="B1989" s="27" t="n">
        <v>8</v>
      </c>
      <c r="C1989" s="27" t="s">
        <v>45</v>
      </c>
      <c r="D1989" s="27" t="s">
        <v>24</v>
      </c>
      <c r="E1989" s="27" t="s">
        <v>54</v>
      </c>
      <c r="F1989" s="28" t="n">
        <v>921</v>
      </c>
      <c r="G1989" s="29" t="n">
        <v>2360</v>
      </c>
      <c r="H1989" s="29" t="n">
        <f aca="false">F1989*G1989</f>
        <v>2173560</v>
      </c>
    </row>
    <row r="1990" customFormat="false" ht="15" hidden="false" customHeight="false" outlineLevel="0" collapsed="false">
      <c r="A1990" s="27" t="n">
        <v>2025</v>
      </c>
      <c r="B1990" s="27" t="n">
        <v>8</v>
      </c>
      <c r="C1990" s="27" t="s">
        <v>45</v>
      </c>
      <c r="D1990" s="27" t="s">
        <v>24</v>
      </c>
      <c r="E1990" s="27" t="s">
        <v>56</v>
      </c>
      <c r="F1990" s="28" t="n">
        <v>1150</v>
      </c>
      <c r="G1990" s="29" t="n">
        <v>2350</v>
      </c>
      <c r="H1990" s="29" t="n">
        <f aca="false">F1990*G1990</f>
        <v>2702500</v>
      </c>
    </row>
    <row r="1991" customFormat="false" ht="15" hidden="false" customHeight="false" outlineLevel="0" collapsed="false">
      <c r="A1991" s="27" t="n">
        <v>2025</v>
      </c>
      <c r="B1991" s="27" t="n">
        <v>8</v>
      </c>
      <c r="C1991" s="27" t="s">
        <v>45</v>
      </c>
      <c r="D1991" s="27" t="s">
        <v>24</v>
      </c>
      <c r="E1991" s="27" t="s">
        <v>58</v>
      </c>
      <c r="F1991" s="28" t="n">
        <v>803</v>
      </c>
      <c r="G1991" s="29" t="n">
        <v>2370</v>
      </c>
      <c r="H1991" s="29" t="n">
        <f aca="false">F1991*G1991</f>
        <v>1903110</v>
      </c>
    </row>
    <row r="1992" customFormat="false" ht="15" hidden="false" customHeight="false" outlineLevel="0" collapsed="false">
      <c r="A1992" s="27" t="n">
        <v>2025</v>
      </c>
      <c r="B1992" s="27" t="n">
        <v>8</v>
      </c>
      <c r="C1992" s="27" t="s">
        <v>45</v>
      </c>
      <c r="D1992" s="27" t="s">
        <v>26</v>
      </c>
      <c r="E1992" s="27" t="s">
        <v>50</v>
      </c>
      <c r="F1992" s="28" t="n">
        <v>987</v>
      </c>
      <c r="G1992" s="29" t="n">
        <v>2830</v>
      </c>
      <c r="H1992" s="29" t="n">
        <f aca="false">F1992*G1992</f>
        <v>2793210</v>
      </c>
    </row>
    <row r="1993" customFormat="false" ht="15" hidden="false" customHeight="false" outlineLevel="0" collapsed="false">
      <c r="A1993" s="27" t="n">
        <v>2025</v>
      </c>
      <c r="B1993" s="27" t="n">
        <v>8</v>
      </c>
      <c r="C1993" s="27" t="s">
        <v>45</v>
      </c>
      <c r="D1993" s="27" t="s">
        <v>26</v>
      </c>
      <c r="E1993" s="27" t="s">
        <v>52</v>
      </c>
      <c r="F1993" s="28" t="n">
        <v>596</v>
      </c>
      <c r="G1993" s="29" t="n">
        <v>2800</v>
      </c>
      <c r="H1993" s="29" t="n">
        <f aca="false">F1993*G1993</f>
        <v>1668800</v>
      </c>
    </row>
    <row r="1994" customFormat="false" ht="15" hidden="false" customHeight="false" outlineLevel="0" collapsed="false">
      <c r="A1994" s="27" t="n">
        <v>2025</v>
      </c>
      <c r="B1994" s="27" t="n">
        <v>8</v>
      </c>
      <c r="C1994" s="27" t="s">
        <v>45</v>
      </c>
      <c r="D1994" s="27" t="s">
        <v>26</v>
      </c>
      <c r="E1994" s="27" t="s">
        <v>54</v>
      </c>
      <c r="F1994" s="28" t="n">
        <v>466</v>
      </c>
      <c r="G1994" s="29" t="n">
        <v>2820</v>
      </c>
      <c r="H1994" s="29" t="n">
        <f aca="false">F1994*G1994</f>
        <v>1314120</v>
      </c>
    </row>
    <row r="1995" customFormat="false" ht="15" hidden="false" customHeight="false" outlineLevel="0" collapsed="false">
      <c r="A1995" s="27" t="n">
        <v>2025</v>
      </c>
      <c r="B1995" s="27" t="n">
        <v>8</v>
      </c>
      <c r="C1995" s="27" t="s">
        <v>45</v>
      </c>
      <c r="D1995" s="27" t="s">
        <v>26</v>
      </c>
      <c r="E1995" s="27" t="s">
        <v>56</v>
      </c>
      <c r="F1995" s="28" t="n">
        <v>544</v>
      </c>
      <c r="G1995" s="29" t="n">
        <v>2850</v>
      </c>
      <c r="H1995" s="29" t="n">
        <f aca="false">F1995*G1995</f>
        <v>1550400</v>
      </c>
    </row>
    <row r="1996" customFormat="false" ht="15" hidden="false" customHeight="false" outlineLevel="0" collapsed="false">
      <c r="A1996" s="27" t="n">
        <v>2025</v>
      </c>
      <c r="B1996" s="27" t="n">
        <v>8</v>
      </c>
      <c r="C1996" s="27" t="s">
        <v>45</v>
      </c>
      <c r="D1996" s="27" t="s">
        <v>26</v>
      </c>
      <c r="E1996" s="27" t="s">
        <v>58</v>
      </c>
      <c r="F1996" s="28" t="n">
        <v>418</v>
      </c>
      <c r="G1996" s="29" t="n">
        <v>2810</v>
      </c>
      <c r="H1996" s="29" t="n">
        <f aca="false">F1996*G1996</f>
        <v>1174580</v>
      </c>
    </row>
    <row r="1997" customFormat="false" ht="15" hidden="false" customHeight="false" outlineLevel="0" collapsed="false">
      <c r="A1997" s="27" t="n">
        <v>2025</v>
      </c>
      <c r="B1997" s="27" t="n">
        <v>8</v>
      </c>
      <c r="C1997" s="27" t="s">
        <v>45</v>
      </c>
      <c r="D1997" s="27" t="s">
        <v>28</v>
      </c>
      <c r="E1997" s="27" t="s">
        <v>50</v>
      </c>
      <c r="F1997" s="28" t="n">
        <v>465</v>
      </c>
      <c r="G1997" s="29" t="n">
        <v>2630</v>
      </c>
      <c r="H1997" s="29" t="n">
        <f aca="false">F1997*G1997</f>
        <v>1222950</v>
      </c>
    </row>
    <row r="1998" customFormat="false" ht="15" hidden="false" customHeight="false" outlineLevel="0" collapsed="false">
      <c r="A1998" s="27" t="n">
        <v>2025</v>
      </c>
      <c r="B1998" s="27" t="n">
        <v>8</v>
      </c>
      <c r="C1998" s="27" t="s">
        <v>45</v>
      </c>
      <c r="D1998" s="27" t="s">
        <v>28</v>
      </c>
      <c r="E1998" s="27" t="s">
        <v>52</v>
      </c>
      <c r="F1998" s="28" t="n">
        <v>282</v>
      </c>
      <c r="G1998" s="29" t="n">
        <v>2640</v>
      </c>
      <c r="H1998" s="29" t="n">
        <f aca="false">F1998*G1998</f>
        <v>744480</v>
      </c>
    </row>
    <row r="1999" customFormat="false" ht="15" hidden="false" customHeight="false" outlineLevel="0" collapsed="false">
      <c r="A1999" s="27" t="n">
        <v>2025</v>
      </c>
      <c r="B1999" s="27" t="n">
        <v>8</v>
      </c>
      <c r="C1999" s="27" t="s">
        <v>45</v>
      </c>
      <c r="D1999" s="27" t="s">
        <v>28</v>
      </c>
      <c r="E1999" s="27" t="s">
        <v>54</v>
      </c>
      <c r="F1999" s="28" t="n">
        <v>236</v>
      </c>
      <c r="G1999" s="29" t="n">
        <v>2640</v>
      </c>
      <c r="H1999" s="29" t="n">
        <f aca="false">F1999*G1999</f>
        <v>623040</v>
      </c>
    </row>
    <row r="2000" customFormat="false" ht="15" hidden="false" customHeight="false" outlineLevel="0" collapsed="false">
      <c r="A2000" s="27" t="n">
        <v>2025</v>
      </c>
      <c r="B2000" s="27" t="n">
        <v>8</v>
      </c>
      <c r="C2000" s="27" t="s">
        <v>45</v>
      </c>
      <c r="D2000" s="27" t="s">
        <v>28</v>
      </c>
      <c r="E2000" s="27" t="s">
        <v>56</v>
      </c>
      <c r="F2000" s="28" t="n">
        <v>286</v>
      </c>
      <c r="G2000" s="29" t="n">
        <v>2650</v>
      </c>
      <c r="H2000" s="29" t="n">
        <f aca="false">F2000*G2000</f>
        <v>757900</v>
      </c>
    </row>
    <row r="2001" customFormat="false" ht="15" hidden="false" customHeight="false" outlineLevel="0" collapsed="false">
      <c r="A2001" s="27" t="n">
        <v>2025</v>
      </c>
      <c r="B2001" s="27" t="n">
        <v>8</v>
      </c>
      <c r="C2001" s="27" t="s">
        <v>45</v>
      </c>
      <c r="D2001" s="27" t="s">
        <v>28</v>
      </c>
      <c r="E2001" s="27" t="s">
        <v>58</v>
      </c>
      <c r="F2001" s="28" t="n">
        <v>180</v>
      </c>
      <c r="G2001" s="29" t="n">
        <v>2630</v>
      </c>
      <c r="H2001" s="29" t="n">
        <f aca="false">F2001*G2001</f>
        <v>473400</v>
      </c>
    </row>
    <row r="2002" customFormat="false" ht="15" hidden="false" customHeight="false" outlineLevel="0" collapsed="false">
      <c r="A2002" s="27" t="n">
        <v>2025</v>
      </c>
      <c r="B2002" s="27" t="n">
        <v>9</v>
      </c>
      <c r="C2002" s="27" t="s">
        <v>38</v>
      </c>
      <c r="D2002" s="27" t="s">
        <v>22</v>
      </c>
      <c r="E2002" s="27" t="s">
        <v>50</v>
      </c>
      <c r="F2002" s="28" t="n">
        <v>8169</v>
      </c>
      <c r="G2002" s="29" t="n">
        <v>2770</v>
      </c>
      <c r="H2002" s="29" t="n">
        <f aca="false">F2002*G2002</f>
        <v>22628130</v>
      </c>
    </row>
    <row r="2003" customFormat="false" ht="15" hidden="false" customHeight="false" outlineLevel="0" collapsed="false">
      <c r="A2003" s="27" t="n">
        <v>2025</v>
      </c>
      <c r="B2003" s="27" t="n">
        <v>9</v>
      </c>
      <c r="C2003" s="27" t="s">
        <v>38</v>
      </c>
      <c r="D2003" s="27" t="s">
        <v>22</v>
      </c>
      <c r="E2003" s="27" t="s">
        <v>52</v>
      </c>
      <c r="F2003" s="28" t="n">
        <v>5111</v>
      </c>
      <c r="G2003" s="29" t="n">
        <v>2800</v>
      </c>
      <c r="H2003" s="29" t="n">
        <f aca="false">F2003*G2003</f>
        <v>14310800</v>
      </c>
    </row>
    <row r="2004" customFormat="false" ht="15" hidden="false" customHeight="false" outlineLevel="0" collapsed="false">
      <c r="A2004" s="27" t="n">
        <v>2025</v>
      </c>
      <c r="B2004" s="27" t="n">
        <v>9</v>
      </c>
      <c r="C2004" s="27" t="s">
        <v>38</v>
      </c>
      <c r="D2004" s="27" t="s">
        <v>22</v>
      </c>
      <c r="E2004" s="27" t="s">
        <v>54</v>
      </c>
      <c r="F2004" s="28" t="n">
        <v>4322</v>
      </c>
      <c r="G2004" s="29" t="n">
        <v>2730</v>
      </c>
      <c r="H2004" s="29" t="n">
        <f aca="false">F2004*G2004</f>
        <v>11799060</v>
      </c>
    </row>
    <row r="2005" customFormat="false" ht="15" hidden="false" customHeight="false" outlineLevel="0" collapsed="false">
      <c r="A2005" s="27" t="n">
        <v>2025</v>
      </c>
      <c r="B2005" s="27" t="n">
        <v>9</v>
      </c>
      <c r="C2005" s="27" t="s">
        <v>38</v>
      </c>
      <c r="D2005" s="27" t="s">
        <v>22</v>
      </c>
      <c r="E2005" s="27" t="s">
        <v>56</v>
      </c>
      <c r="F2005" s="28" t="n">
        <v>4714</v>
      </c>
      <c r="G2005" s="29" t="n">
        <v>2760</v>
      </c>
      <c r="H2005" s="29" t="n">
        <f aca="false">F2005*G2005</f>
        <v>13010640</v>
      </c>
    </row>
    <row r="2006" customFormat="false" ht="15" hidden="false" customHeight="false" outlineLevel="0" collapsed="false">
      <c r="A2006" s="27" t="n">
        <v>2025</v>
      </c>
      <c r="B2006" s="27" t="n">
        <v>9</v>
      </c>
      <c r="C2006" s="27" t="s">
        <v>38</v>
      </c>
      <c r="D2006" s="27" t="s">
        <v>22</v>
      </c>
      <c r="E2006" s="27" t="s">
        <v>58</v>
      </c>
      <c r="F2006" s="28" t="n">
        <v>3140</v>
      </c>
      <c r="G2006" s="29" t="n">
        <v>2770</v>
      </c>
      <c r="H2006" s="29" t="n">
        <f aca="false">F2006*G2006</f>
        <v>8697800</v>
      </c>
    </row>
    <row r="2007" customFormat="false" ht="15" hidden="false" customHeight="false" outlineLevel="0" collapsed="false">
      <c r="A2007" s="27" t="n">
        <v>2025</v>
      </c>
      <c r="B2007" s="27" t="n">
        <v>9</v>
      </c>
      <c r="C2007" s="27" t="s">
        <v>38</v>
      </c>
      <c r="D2007" s="27" t="s">
        <v>24</v>
      </c>
      <c r="E2007" s="27" t="s">
        <v>50</v>
      </c>
      <c r="F2007" s="28" t="n">
        <v>4755</v>
      </c>
      <c r="G2007" s="29" t="n">
        <v>2560</v>
      </c>
      <c r="H2007" s="29" t="n">
        <f aca="false">F2007*G2007</f>
        <v>12172800</v>
      </c>
    </row>
    <row r="2008" customFormat="false" ht="15" hidden="false" customHeight="false" outlineLevel="0" collapsed="false">
      <c r="A2008" s="27" t="n">
        <v>2025</v>
      </c>
      <c r="B2008" s="27" t="n">
        <v>9</v>
      </c>
      <c r="C2008" s="27" t="s">
        <v>38</v>
      </c>
      <c r="D2008" s="27" t="s">
        <v>24</v>
      </c>
      <c r="E2008" s="27" t="s">
        <v>52</v>
      </c>
      <c r="F2008" s="28" t="n">
        <v>3019</v>
      </c>
      <c r="G2008" s="29" t="n">
        <v>2590</v>
      </c>
      <c r="H2008" s="29" t="n">
        <f aca="false">F2008*G2008</f>
        <v>7819210</v>
      </c>
    </row>
    <row r="2009" customFormat="false" ht="15" hidden="false" customHeight="false" outlineLevel="0" collapsed="false">
      <c r="A2009" s="27" t="n">
        <v>2025</v>
      </c>
      <c r="B2009" s="27" t="n">
        <v>9</v>
      </c>
      <c r="C2009" s="27" t="s">
        <v>38</v>
      </c>
      <c r="D2009" s="27" t="s">
        <v>24</v>
      </c>
      <c r="E2009" s="27" t="s">
        <v>54</v>
      </c>
      <c r="F2009" s="28" t="n">
        <v>2355</v>
      </c>
      <c r="G2009" s="29" t="n">
        <v>2550</v>
      </c>
      <c r="H2009" s="29" t="n">
        <f aca="false">F2009*G2009</f>
        <v>6005250</v>
      </c>
    </row>
    <row r="2010" customFormat="false" ht="15" hidden="false" customHeight="false" outlineLevel="0" collapsed="false">
      <c r="A2010" s="27" t="n">
        <v>2025</v>
      </c>
      <c r="B2010" s="27" t="n">
        <v>9</v>
      </c>
      <c r="C2010" s="27" t="s">
        <v>38</v>
      </c>
      <c r="D2010" s="27" t="s">
        <v>24</v>
      </c>
      <c r="E2010" s="27" t="s">
        <v>56</v>
      </c>
      <c r="F2010" s="28" t="n">
        <v>2982</v>
      </c>
      <c r="G2010" s="29" t="n">
        <v>2580</v>
      </c>
      <c r="H2010" s="29" t="n">
        <f aca="false">F2010*G2010</f>
        <v>7693560</v>
      </c>
    </row>
    <row r="2011" customFormat="false" ht="15" hidden="false" customHeight="false" outlineLevel="0" collapsed="false">
      <c r="A2011" s="27" t="n">
        <v>2025</v>
      </c>
      <c r="B2011" s="27" t="n">
        <v>9</v>
      </c>
      <c r="C2011" s="27" t="s">
        <v>38</v>
      </c>
      <c r="D2011" s="27" t="s">
        <v>24</v>
      </c>
      <c r="E2011" s="27" t="s">
        <v>58</v>
      </c>
      <c r="F2011" s="28" t="n">
        <v>1867</v>
      </c>
      <c r="G2011" s="29" t="n">
        <v>2550</v>
      </c>
      <c r="H2011" s="29" t="n">
        <f aca="false">F2011*G2011</f>
        <v>4760850</v>
      </c>
    </row>
    <row r="2012" customFormat="false" ht="15" hidden="false" customHeight="false" outlineLevel="0" collapsed="false">
      <c r="A2012" s="27" t="n">
        <v>2025</v>
      </c>
      <c r="B2012" s="27" t="n">
        <v>9</v>
      </c>
      <c r="C2012" s="27" t="s">
        <v>38</v>
      </c>
      <c r="D2012" s="27" t="s">
        <v>26</v>
      </c>
      <c r="E2012" s="27" t="s">
        <v>50</v>
      </c>
      <c r="F2012" s="28" t="n">
        <v>2402</v>
      </c>
      <c r="G2012" s="29" t="n">
        <v>3080</v>
      </c>
      <c r="H2012" s="29" t="n">
        <f aca="false">F2012*G2012</f>
        <v>7398160</v>
      </c>
    </row>
    <row r="2013" customFormat="false" ht="15" hidden="false" customHeight="false" outlineLevel="0" collapsed="false">
      <c r="A2013" s="27" t="n">
        <v>2025</v>
      </c>
      <c r="B2013" s="27" t="n">
        <v>9</v>
      </c>
      <c r="C2013" s="27" t="s">
        <v>38</v>
      </c>
      <c r="D2013" s="27" t="s">
        <v>26</v>
      </c>
      <c r="E2013" s="27" t="s">
        <v>52</v>
      </c>
      <c r="F2013" s="28" t="n">
        <v>1386</v>
      </c>
      <c r="G2013" s="29" t="n">
        <v>3020</v>
      </c>
      <c r="H2013" s="29" t="n">
        <f aca="false">F2013*G2013</f>
        <v>4185720</v>
      </c>
    </row>
    <row r="2014" customFormat="false" ht="15" hidden="false" customHeight="false" outlineLevel="0" collapsed="false">
      <c r="A2014" s="27" t="n">
        <v>2025</v>
      </c>
      <c r="B2014" s="27" t="n">
        <v>9</v>
      </c>
      <c r="C2014" s="27" t="s">
        <v>38</v>
      </c>
      <c r="D2014" s="27" t="s">
        <v>26</v>
      </c>
      <c r="E2014" s="27" t="s">
        <v>54</v>
      </c>
      <c r="F2014" s="28" t="n">
        <v>1137</v>
      </c>
      <c r="G2014" s="29" t="n">
        <v>3040</v>
      </c>
      <c r="H2014" s="29" t="n">
        <f aca="false">F2014*G2014</f>
        <v>3456480</v>
      </c>
    </row>
    <row r="2015" customFormat="false" ht="15" hidden="false" customHeight="false" outlineLevel="0" collapsed="false">
      <c r="A2015" s="27" t="n">
        <v>2025</v>
      </c>
      <c r="B2015" s="27" t="n">
        <v>9</v>
      </c>
      <c r="C2015" s="27" t="s">
        <v>38</v>
      </c>
      <c r="D2015" s="27" t="s">
        <v>26</v>
      </c>
      <c r="E2015" s="27" t="s">
        <v>56</v>
      </c>
      <c r="F2015" s="28" t="n">
        <v>1367</v>
      </c>
      <c r="G2015" s="29" t="n">
        <v>3090</v>
      </c>
      <c r="H2015" s="29" t="n">
        <f aca="false">F2015*G2015</f>
        <v>4224030</v>
      </c>
    </row>
    <row r="2016" customFormat="false" ht="15" hidden="false" customHeight="false" outlineLevel="0" collapsed="false">
      <c r="A2016" s="27" t="n">
        <v>2025</v>
      </c>
      <c r="B2016" s="27" t="n">
        <v>9</v>
      </c>
      <c r="C2016" s="27" t="s">
        <v>38</v>
      </c>
      <c r="D2016" s="27" t="s">
        <v>26</v>
      </c>
      <c r="E2016" s="27" t="s">
        <v>58</v>
      </c>
      <c r="F2016" s="28" t="n">
        <v>958</v>
      </c>
      <c r="G2016" s="29" t="n">
        <v>3080</v>
      </c>
      <c r="H2016" s="29" t="n">
        <f aca="false">F2016*G2016</f>
        <v>2950640</v>
      </c>
    </row>
    <row r="2017" customFormat="false" ht="15" hidden="false" customHeight="false" outlineLevel="0" collapsed="false">
      <c r="A2017" s="27" t="n">
        <v>2025</v>
      </c>
      <c r="B2017" s="27" t="n">
        <v>9</v>
      </c>
      <c r="C2017" s="27" t="s">
        <v>38</v>
      </c>
      <c r="D2017" s="27" t="s">
        <v>28</v>
      </c>
      <c r="E2017" s="27" t="s">
        <v>50</v>
      </c>
      <c r="F2017" s="28" t="n">
        <v>1054</v>
      </c>
      <c r="G2017" s="29" t="n">
        <v>2870</v>
      </c>
      <c r="H2017" s="29" t="n">
        <f aca="false">F2017*G2017</f>
        <v>3024980</v>
      </c>
    </row>
    <row r="2018" customFormat="false" ht="15" hidden="false" customHeight="false" outlineLevel="0" collapsed="false">
      <c r="A2018" s="27" t="n">
        <v>2025</v>
      </c>
      <c r="B2018" s="27" t="n">
        <v>9</v>
      </c>
      <c r="C2018" s="27" t="s">
        <v>38</v>
      </c>
      <c r="D2018" s="27" t="s">
        <v>28</v>
      </c>
      <c r="E2018" s="27" t="s">
        <v>52</v>
      </c>
      <c r="F2018" s="28" t="n">
        <v>722</v>
      </c>
      <c r="G2018" s="29" t="n">
        <v>2900</v>
      </c>
      <c r="H2018" s="29" t="n">
        <f aca="false">F2018*G2018</f>
        <v>2093800</v>
      </c>
    </row>
    <row r="2019" customFormat="false" ht="15" hidden="false" customHeight="false" outlineLevel="0" collapsed="false">
      <c r="A2019" s="27" t="n">
        <v>2025</v>
      </c>
      <c r="B2019" s="27" t="n">
        <v>9</v>
      </c>
      <c r="C2019" s="27" t="s">
        <v>38</v>
      </c>
      <c r="D2019" s="27" t="s">
        <v>28</v>
      </c>
      <c r="E2019" s="27" t="s">
        <v>54</v>
      </c>
      <c r="F2019" s="28" t="n">
        <v>541</v>
      </c>
      <c r="G2019" s="29" t="n">
        <v>2880</v>
      </c>
      <c r="H2019" s="29" t="n">
        <f aca="false">F2019*G2019</f>
        <v>1558080</v>
      </c>
    </row>
    <row r="2020" customFormat="false" ht="15" hidden="false" customHeight="false" outlineLevel="0" collapsed="false">
      <c r="A2020" s="27" t="n">
        <v>2025</v>
      </c>
      <c r="B2020" s="27" t="n">
        <v>9</v>
      </c>
      <c r="C2020" s="27" t="s">
        <v>38</v>
      </c>
      <c r="D2020" s="27" t="s">
        <v>28</v>
      </c>
      <c r="E2020" s="27" t="s">
        <v>56</v>
      </c>
      <c r="F2020" s="28" t="n">
        <v>740</v>
      </c>
      <c r="G2020" s="29" t="n">
        <v>2880</v>
      </c>
      <c r="H2020" s="29" t="n">
        <f aca="false">F2020*G2020</f>
        <v>2131200</v>
      </c>
    </row>
    <row r="2021" customFormat="false" ht="15" hidden="false" customHeight="false" outlineLevel="0" collapsed="false">
      <c r="A2021" s="27" t="n">
        <v>2025</v>
      </c>
      <c r="B2021" s="27" t="n">
        <v>9</v>
      </c>
      <c r="C2021" s="27" t="s">
        <v>38</v>
      </c>
      <c r="D2021" s="27" t="s">
        <v>28</v>
      </c>
      <c r="E2021" s="27" t="s">
        <v>58</v>
      </c>
      <c r="F2021" s="28" t="n">
        <v>440</v>
      </c>
      <c r="G2021" s="29" t="n">
        <v>2880</v>
      </c>
      <c r="H2021" s="29" t="n">
        <f aca="false">F2021*G2021</f>
        <v>1267200</v>
      </c>
    </row>
    <row r="2022" customFormat="false" ht="15" hidden="false" customHeight="false" outlineLevel="0" collapsed="false">
      <c r="A2022" s="27" t="n">
        <v>2025</v>
      </c>
      <c r="B2022" s="27" t="n">
        <v>9</v>
      </c>
      <c r="C2022" s="27" t="s">
        <v>40</v>
      </c>
      <c r="D2022" s="27" t="s">
        <v>22</v>
      </c>
      <c r="E2022" s="27" t="s">
        <v>50</v>
      </c>
      <c r="F2022" s="28" t="n">
        <v>4138</v>
      </c>
      <c r="G2022" s="29" t="n">
        <v>2420</v>
      </c>
      <c r="H2022" s="29" t="n">
        <f aca="false">F2022*G2022</f>
        <v>10013960</v>
      </c>
    </row>
    <row r="2023" customFormat="false" ht="15" hidden="false" customHeight="false" outlineLevel="0" collapsed="false">
      <c r="A2023" s="27" t="n">
        <v>2025</v>
      </c>
      <c r="B2023" s="27" t="n">
        <v>9</v>
      </c>
      <c r="C2023" s="27" t="s">
        <v>40</v>
      </c>
      <c r="D2023" s="27" t="s">
        <v>22</v>
      </c>
      <c r="E2023" s="27" t="s">
        <v>52</v>
      </c>
      <c r="F2023" s="28" t="n">
        <v>2570</v>
      </c>
      <c r="G2023" s="29" t="n">
        <v>2390</v>
      </c>
      <c r="H2023" s="29" t="n">
        <f aca="false">F2023*G2023</f>
        <v>6142300</v>
      </c>
    </row>
    <row r="2024" customFormat="false" ht="15" hidden="false" customHeight="false" outlineLevel="0" collapsed="false">
      <c r="A2024" s="27" t="n">
        <v>2025</v>
      </c>
      <c r="B2024" s="27" t="n">
        <v>9</v>
      </c>
      <c r="C2024" s="27" t="s">
        <v>40</v>
      </c>
      <c r="D2024" s="27" t="s">
        <v>22</v>
      </c>
      <c r="E2024" s="27" t="s">
        <v>54</v>
      </c>
      <c r="F2024" s="28" t="n">
        <v>1960</v>
      </c>
      <c r="G2024" s="29" t="n">
        <v>2420</v>
      </c>
      <c r="H2024" s="29" t="n">
        <f aca="false">F2024*G2024</f>
        <v>4743200</v>
      </c>
    </row>
    <row r="2025" customFormat="false" ht="15" hidden="false" customHeight="false" outlineLevel="0" collapsed="false">
      <c r="A2025" s="27" t="n">
        <v>2025</v>
      </c>
      <c r="B2025" s="27" t="n">
        <v>9</v>
      </c>
      <c r="C2025" s="27" t="s">
        <v>40</v>
      </c>
      <c r="D2025" s="27" t="s">
        <v>22</v>
      </c>
      <c r="E2025" s="27" t="s">
        <v>56</v>
      </c>
      <c r="F2025" s="28" t="n">
        <v>2425</v>
      </c>
      <c r="G2025" s="29" t="n">
        <v>2410</v>
      </c>
      <c r="H2025" s="29" t="n">
        <f aca="false">F2025*G2025</f>
        <v>5844250</v>
      </c>
    </row>
    <row r="2026" customFormat="false" ht="15" hidden="false" customHeight="false" outlineLevel="0" collapsed="false">
      <c r="A2026" s="27" t="n">
        <v>2025</v>
      </c>
      <c r="B2026" s="27" t="n">
        <v>9</v>
      </c>
      <c r="C2026" s="27" t="s">
        <v>40</v>
      </c>
      <c r="D2026" s="27" t="s">
        <v>22</v>
      </c>
      <c r="E2026" s="27" t="s">
        <v>58</v>
      </c>
      <c r="F2026" s="28" t="n">
        <v>1659</v>
      </c>
      <c r="G2026" s="29" t="n">
        <v>2430</v>
      </c>
      <c r="H2026" s="29" t="n">
        <f aca="false">F2026*G2026</f>
        <v>4031370</v>
      </c>
    </row>
    <row r="2027" customFormat="false" ht="15" hidden="false" customHeight="false" outlineLevel="0" collapsed="false">
      <c r="A2027" s="27" t="n">
        <v>2025</v>
      </c>
      <c r="B2027" s="27" t="n">
        <v>9</v>
      </c>
      <c r="C2027" s="27" t="s">
        <v>40</v>
      </c>
      <c r="D2027" s="27" t="s">
        <v>24</v>
      </c>
      <c r="E2027" s="27" t="s">
        <v>50</v>
      </c>
      <c r="F2027" s="28" t="n">
        <v>2491</v>
      </c>
      <c r="G2027" s="29" t="n">
        <v>2250</v>
      </c>
      <c r="H2027" s="29" t="n">
        <f aca="false">F2027*G2027</f>
        <v>5604750</v>
      </c>
    </row>
    <row r="2028" customFormat="false" ht="15" hidden="false" customHeight="false" outlineLevel="0" collapsed="false">
      <c r="A2028" s="27" t="n">
        <v>2025</v>
      </c>
      <c r="B2028" s="27" t="n">
        <v>9</v>
      </c>
      <c r="C2028" s="27" t="s">
        <v>40</v>
      </c>
      <c r="D2028" s="27" t="s">
        <v>24</v>
      </c>
      <c r="E2028" s="27" t="s">
        <v>52</v>
      </c>
      <c r="F2028" s="28" t="n">
        <v>1520</v>
      </c>
      <c r="G2028" s="29" t="n">
        <v>2240</v>
      </c>
      <c r="H2028" s="29" t="n">
        <f aca="false">F2028*G2028</f>
        <v>3404800</v>
      </c>
    </row>
    <row r="2029" customFormat="false" ht="15" hidden="false" customHeight="false" outlineLevel="0" collapsed="false">
      <c r="A2029" s="27" t="n">
        <v>2025</v>
      </c>
      <c r="B2029" s="27" t="n">
        <v>9</v>
      </c>
      <c r="C2029" s="27" t="s">
        <v>40</v>
      </c>
      <c r="D2029" s="27" t="s">
        <v>24</v>
      </c>
      <c r="E2029" s="27" t="s">
        <v>54</v>
      </c>
      <c r="F2029" s="28" t="n">
        <v>1226</v>
      </c>
      <c r="G2029" s="29" t="n">
        <v>2270</v>
      </c>
      <c r="H2029" s="29" t="n">
        <f aca="false">F2029*G2029</f>
        <v>2783020</v>
      </c>
    </row>
    <row r="2030" customFormat="false" ht="15" hidden="false" customHeight="false" outlineLevel="0" collapsed="false">
      <c r="A2030" s="27" t="n">
        <v>2025</v>
      </c>
      <c r="B2030" s="27" t="n">
        <v>9</v>
      </c>
      <c r="C2030" s="27" t="s">
        <v>40</v>
      </c>
      <c r="D2030" s="27" t="s">
        <v>24</v>
      </c>
      <c r="E2030" s="27" t="s">
        <v>56</v>
      </c>
      <c r="F2030" s="28" t="n">
        <v>1477</v>
      </c>
      <c r="G2030" s="29" t="n">
        <v>2270</v>
      </c>
      <c r="H2030" s="29" t="n">
        <f aca="false">F2030*G2030</f>
        <v>3352790</v>
      </c>
    </row>
    <row r="2031" customFormat="false" ht="15" hidden="false" customHeight="false" outlineLevel="0" collapsed="false">
      <c r="A2031" s="27" t="n">
        <v>2025</v>
      </c>
      <c r="B2031" s="27" t="n">
        <v>9</v>
      </c>
      <c r="C2031" s="27" t="s">
        <v>40</v>
      </c>
      <c r="D2031" s="27" t="s">
        <v>24</v>
      </c>
      <c r="E2031" s="27" t="s">
        <v>58</v>
      </c>
      <c r="F2031" s="28" t="n">
        <v>997</v>
      </c>
      <c r="G2031" s="29" t="n">
        <v>2250</v>
      </c>
      <c r="H2031" s="29" t="n">
        <f aca="false">F2031*G2031</f>
        <v>2243250</v>
      </c>
    </row>
    <row r="2032" customFormat="false" ht="15" hidden="false" customHeight="false" outlineLevel="0" collapsed="false">
      <c r="A2032" s="27" t="n">
        <v>2025</v>
      </c>
      <c r="B2032" s="27" t="n">
        <v>9</v>
      </c>
      <c r="C2032" s="27" t="s">
        <v>40</v>
      </c>
      <c r="D2032" s="27" t="s">
        <v>26</v>
      </c>
      <c r="E2032" s="27" t="s">
        <v>50</v>
      </c>
      <c r="F2032" s="28" t="n">
        <v>1229</v>
      </c>
      <c r="G2032" s="29" t="n">
        <v>2750</v>
      </c>
      <c r="H2032" s="29" t="n">
        <f aca="false">F2032*G2032</f>
        <v>3379750</v>
      </c>
    </row>
    <row r="2033" customFormat="false" ht="15" hidden="false" customHeight="false" outlineLevel="0" collapsed="false">
      <c r="A2033" s="27" t="n">
        <v>2025</v>
      </c>
      <c r="B2033" s="27" t="n">
        <v>9</v>
      </c>
      <c r="C2033" s="27" t="s">
        <v>40</v>
      </c>
      <c r="D2033" s="27" t="s">
        <v>26</v>
      </c>
      <c r="E2033" s="27" t="s">
        <v>52</v>
      </c>
      <c r="F2033" s="28" t="n">
        <v>734</v>
      </c>
      <c r="G2033" s="29" t="n">
        <v>2700</v>
      </c>
      <c r="H2033" s="29" t="n">
        <f aca="false">F2033*G2033</f>
        <v>1981800</v>
      </c>
    </row>
    <row r="2034" customFormat="false" ht="15" hidden="false" customHeight="false" outlineLevel="0" collapsed="false">
      <c r="A2034" s="27" t="n">
        <v>2025</v>
      </c>
      <c r="B2034" s="27" t="n">
        <v>9</v>
      </c>
      <c r="C2034" s="27" t="s">
        <v>40</v>
      </c>
      <c r="D2034" s="27" t="s">
        <v>26</v>
      </c>
      <c r="E2034" s="27" t="s">
        <v>54</v>
      </c>
      <c r="F2034" s="28" t="n">
        <v>613</v>
      </c>
      <c r="G2034" s="29" t="n">
        <v>2730</v>
      </c>
      <c r="H2034" s="29" t="n">
        <f aca="false">F2034*G2034</f>
        <v>1673490</v>
      </c>
    </row>
    <row r="2035" customFormat="false" ht="15" hidden="false" customHeight="false" outlineLevel="0" collapsed="false">
      <c r="A2035" s="27" t="n">
        <v>2025</v>
      </c>
      <c r="B2035" s="27" t="n">
        <v>9</v>
      </c>
      <c r="C2035" s="27" t="s">
        <v>40</v>
      </c>
      <c r="D2035" s="27" t="s">
        <v>26</v>
      </c>
      <c r="E2035" s="27" t="s">
        <v>56</v>
      </c>
      <c r="F2035" s="28" t="n">
        <v>691</v>
      </c>
      <c r="G2035" s="29" t="n">
        <v>2720</v>
      </c>
      <c r="H2035" s="29" t="n">
        <f aca="false">F2035*G2035</f>
        <v>1879520</v>
      </c>
    </row>
    <row r="2036" customFormat="false" ht="15" hidden="false" customHeight="false" outlineLevel="0" collapsed="false">
      <c r="A2036" s="27" t="n">
        <v>2025</v>
      </c>
      <c r="B2036" s="27" t="n">
        <v>9</v>
      </c>
      <c r="C2036" s="27" t="s">
        <v>40</v>
      </c>
      <c r="D2036" s="27" t="s">
        <v>26</v>
      </c>
      <c r="E2036" s="27" t="s">
        <v>58</v>
      </c>
      <c r="F2036" s="28" t="n">
        <v>491</v>
      </c>
      <c r="G2036" s="29" t="n">
        <v>2660</v>
      </c>
      <c r="H2036" s="29" t="n">
        <f aca="false">F2036*G2036</f>
        <v>1306060</v>
      </c>
    </row>
    <row r="2037" customFormat="false" ht="15" hidden="false" customHeight="false" outlineLevel="0" collapsed="false">
      <c r="A2037" s="27" t="n">
        <v>2025</v>
      </c>
      <c r="B2037" s="27" t="n">
        <v>9</v>
      </c>
      <c r="C2037" s="27" t="s">
        <v>40</v>
      </c>
      <c r="D2037" s="27" t="s">
        <v>28</v>
      </c>
      <c r="E2037" s="27" t="s">
        <v>50</v>
      </c>
      <c r="F2037" s="28" t="n">
        <v>567</v>
      </c>
      <c r="G2037" s="29" t="n">
        <v>2540</v>
      </c>
      <c r="H2037" s="29" t="n">
        <f aca="false">F2037*G2037</f>
        <v>1440180</v>
      </c>
    </row>
    <row r="2038" customFormat="false" ht="15" hidden="false" customHeight="false" outlineLevel="0" collapsed="false">
      <c r="A2038" s="27" t="n">
        <v>2025</v>
      </c>
      <c r="B2038" s="27" t="n">
        <v>9</v>
      </c>
      <c r="C2038" s="27" t="s">
        <v>40</v>
      </c>
      <c r="D2038" s="27" t="s">
        <v>28</v>
      </c>
      <c r="E2038" s="27" t="s">
        <v>52</v>
      </c>
      <c r="F2038" s="28" t="n">
        <v>355</v>
      </c>
      <c r="G2038" s="29" t="n">
        <v>2580</v>
      </c>
      <c r="H2038" s="29" t="n">
        <f aca="false">F2038*G2038</f>
        <v>915900</v>
      </c>
    </row>
    <row r="2039" customFormat="false" ht="15" hidden="false" customHeight="false" outlineLevel="0" collapsed="false">
      <c r="A2039" s="27" t="n">
        <v>2025</v>
      </c>
      <c r="B2039" s="27" t="n">
        <v>9</v>
      </c>
      <c r="C2039" s="27" t="s">
        <v>40</v>
      </c>
      <c r="D2039" s="27" t="s">
        <v>28</v>
      </c>
      <c r="E2039" s="27" t="s">
        <v>54</v>
      </c>
      <c r="F2039" s="28" t="n">
        <v>269</v>
      </c>
      <c r="G2039" s="29" t="n">
        <v>2530</v>
      </c>
      <c r="H2039" s="29" t="n">
        <f aca="false">F2039*G2039</f>
        <v>680570</v>
      </c>
    </row>
    <row r="2040" customFormat="false" ht="15" hidden="false" customHeight="false" outlineLevel="0" collapsed="false">
      <c r="A2040" s="27" t="n">
        <v>2025</v>
      </c>
      <c r="B2040" s="27" t="n">
        <v>9</v>
      </c>
      <c r="C2040" s="27" t="s">
        <v>40</v>
      </c>
      <c r="D2040" s="27" t="s">
        <v>28</v>
      </c>
      <c r="E2040" s="27" t="s">
        <v>56</v>
      </c>
      <c r="F2040" s="28" t="n">
        <v>296</v>
      </c>
      <c r="G2040" s="29" t="n">
        <v>2540</v>
      </c>
      <c r="H2040" s="29" t="n">
        <f aca="false">F2040*G2040</f>
        <v>751840</v>
      </c>
    </row>
    <row r="2041" customFormat="false" ht="15" hidden="false" customHeight="false" outlineLevel="0" collapsed="false">
      <c r="A2041" s="27" t="n">
        <v>2025</v>
      </c>
      <c r="B2041" s="27" t="n">
        <v>9</v>
      </c>
      <c r="C2041" s="27" t="s">
        <v>40</v>
      </c>
      <c r="D2041" s="27" t="s">
        <v>28</v>
      </c>
      <c r="E2041" s="27" t="s">
        <v>58</v>
      </c>
      <c r="F2041" s="28" t="n">
        <v>228</v>
      </c>
      <c r="G2041" s="29" t="n">
        <v>2530</v>
      </c>
      <c r="H2041" s="29" t="n">
        <f aca="false">F2041*G2041</f>
        <v>576840</v>
      </c>
    </row>
    <row r="2042" customFormat="false" ht="15" hidden="false" customHeight="false" outlineLevel="0" collapsed="false">
      <c r="A2042" s="27" t="n">
        <v>2025</v>
      </c>
      <c r="B2042" s="27" t="n">
        <v>9</v>
      </c>
      <c r="C2042" s="27" t="s">
        <v>42</v>
      </c>
      <c r="D2042" s="27" t="s">
        <v>22</v>
      </c>
      <c r="E2042" s="27" t="s">
        <v>50</v>
      </c>
      <c r="F2042" s="28" t="n">
        <v>4820</v>
      </c>
      <c r="G2042" s="29" t="n">
        <v>2230</v>
      </c>
      <c r="H2042" s="29" t="n">
        <f aca="false">F2042*G2042</f>
        <v>10748600</v>
      </c>
    </row>
    <row r="2043" customFormat="false" ht="15" hidden="false" customHeight="false" outlineLevel="0" collapsed="false">
      <c r="A2043" s="27" t="n">
        <v>2025</v>
      </c>
      <c r="B2043" s="27" t="n">
        <v>9</v>
      </c>
      <c r="C2043" s="27" t="s">
        <v>42</v>
      </c>
      <c r="D2043" s="27" t="s">
        <v>22</v>
      </c>
      <c r="E2043" s="27" t="s">
        <v>52</v>
      </c>
      <c r="F2043" s="28" t="n">
        <v>2866</v>
      </c>
      <c r="G2043" s="29" t="n">
        <v>2210</v>
      </c>
      <c r="H2043" s="29" t="n">
        <f aca="false">F2043*G2043</f>
        <v>6333860</v>
      </c>
    </row>
    <row r="2044" customFormat="false" ht="15" hidden="false" customHeight="false" outlineLevel="0" collapsed="false">
      <c r="A2044" s="27" t="n">
        <v>2025</v>
      </c>
      <c r="B2044" s="27" t="n">
        <v>9</v>
      </c>
      <c r="C2044" s="27" t="s">
        <v>42</v>
      </c>
      <c r="D2044" s="27" t="s">
        <v>22</v>
      </c>
      <c r="E2044" s="27" t="s">
        <v>54</v>
      </c>
      <c r="F2044" s="28" t="n">
        <v>2401</v>
      </c>
      <c r="G2044" s="29" t="n">
        <v>2220</v>
      </c>
      <c r="H2044" s="29" t="n">
        <f aca="false">F2044*G2044</f>
        <v>5330220</v>
      </c>
    </row>
    <row r="2045" customFormat="false" ht="15" hidden="false" customHeight="false" outlineLevel="0" collapsed="false">
      <c r="A2045" s="27" t="n">
        <v>2025</v>
      </c>
      <c r="B2045" s="27" t="n">
        <v>9</v>
      </c>
      <c r="C2045" s="27" t="s">
        <v>42</v>
      </c>
      <c r="D2045" s="27" t="s">
        <v>22</v>
      </c>
      <c r="E2045" s="27" t="s">
        <v>56</v>
      </c>
      <c r="F2045" s="28" t="n">
        <v>2601</v>
      </c>
      <c r="G2045" s="29" t="n">
        <v>2180</v>
      </c>
      <c r="H2045" s="29" t="n">
        <f aca="false">F2045*G2045</f>
        <v>5670180</v>
      </c>
    </row>
    <row r="2046" customFormat="false" ht="15" hidden="false" customHeight="false" outlineLevel="0" collapsed="false">
      <c r="A2046" s="27" t="n">
        <v>2025</v>
      </c>
      <c r="B2046" s="27" t="n">
        <v>9</v>
      </c>
      <c r="C2046" s="27" t="s">
        <v>42</v>
      </c>
      <c r="D2046" s="27" t="s">
        <v>22</v>
      </c>
      <c r="E2046" s="27" t="s">
        <v>58</v>
      </c>
      <c r="F2046" s="28" t="n">
        <v>1815</v>
      </c>
      <c r="G2046" s="29" t="n">
        <v>2230</v>
      </c>
      <c r="H2046" s="29" t="n">
        <f aca="false">F2046*G2046</f>
        <v>4047450</v>
      </c>
    </row>
    <row r="2047" customFormat="false" ht="15" hidden="false" customHeight="false" outlineLevel="0" collapsed="false">
      <c r="A2047" s="27" t="n">
        <v>2025</v>
      </c>
      <c r="B2047" s="27" t="n">
        <v>9</v>
      </c>
      <c r="C2047" s="27" t="s">
        <v>42</v>
      </c>
      <c r="D2047" s="27" t="s">
        <v>24</v>
      </c>
      <c r="E2047" s="27" t="s">
        <v>50</v>
      </c>
      <c r="F2047" s="28" t="n">
        <v>2945</v>
      </c>
      <c r="G2047" s="29" t="n">
        <v>2060</v>
      </c>
      <c r="H2047" s="29" t="n">
        <f aca="false">F2047*G2047</f>
        <v>6066700</v>
      </c>
    </row>
    <row r="2048" customFormat="false" ht="15" hidden="false" customHeight="false" outlineLevel="0" collapsed="false">
      <c r="A2048" s="27" t="n">
        <v>2025</v>
      </c>
      <c r="B2048" s="27" t="n">
        <v>9</v>
      </c>
      <c r="C2048" s="27" t="s">
        <v>42</v>
      </c>
      <c r="D2048" s="27" t="s">
        <v>24</v>
      </c>
      <c r="E2048" s="27" t="s">
        <v>52</v>
      </c>
      <c r="F2048" s="28" t="n">
        <v>1590</v>
      </c>
      <c r="G2048" s="29" t="n">
        <v>2040</v>
      </c>
      <c r="H2048" s="29" t="n">
        <f aca="false">F2048*G2048</f>
        <v>3243600</v>
      </c>
    </row>
    <row r="2049" customFormat="false" ht="15" hidden="false" customHeight="false" outlineLevel="0" collapsed="false">
      <c r="A2049" s="27" t="n">
        <v>2025</v>
      </c>
      <c r="B2049" s="27" t="n">
        <v>9</v>
      </c>
      <c r="C2049" s="27" t="s">
        <v>42</v>
      </c>
      <c r="D2049" s="27" t="s">
        <v>24</v>
      </c>
      <c r="E2049" s="27" t="s">
        <v>54</v>
      </c>
      <c r="F2049" s="28" t="n">
        <v>1359</v>
      </c>
      <c r="G2049" s="29" t="n">
        <v>2020</v>
      </c>
      <c r="H2049" s="29" t="n">
        <f aca="false">F2049*G2049</f>
        <v>2745180</v>
      </c>
    </row>
    <row r="2050" customFormat="false" ht="15" hidden="false" customHeight="false" outlineLevel="0" collapsed="false">
      <c r="A2050" s="27" t="n">
        <v>2025</v>
      </c>
      <c r="B2050" s="27" t="n">
        <v>9</v>
      </c>
      <c r="C2050" s="27" t="s">
        <v>42</v>
      </c>
      <c r="D2050" s="27" t="s">
        <v>24</v>
      </c>
      <c r="E2050" s="27" t="s">
        <v>56</v>
      </c>
      <c r="F2050" s="28" t="n">
        <v>1613</v>
      </c>
      <c r="G2050" s="29" t="n">
        <v>2080</v>
      </c>
      <c r="H2050" s="29" t="n">
        <f aca="false">F2050*G2050</f>
        <v>3355040</v>
      </c>
    </row>
    <row r="2051" customFormat="false" ht="15" hidden="false" customHeight="false" outlineLevel="0" collapsed="false">
      <c r="A2051" s="27" t="n">
        <v>2025</v>
      </c>
      <c r="B2051" s="27" t="n">
        <v>9</v>
      </c>
      <c r="C2051" s="27" t="s">
        <v>42</v>
      </c>
      <c r="D2051" s="27" t="s">
        <v>24</v>
      </c>
      <c r="E2051" s="27" t="s">
        <v>58</v>
      </c>
      <c r="F2051" s="28" t="n">
        <v>1098</v>
      </c>
      <c r="G2051" s="29" t="n">
        <v>2060</v>
      </c>
      <c r="H2051" s="29" t="n">
        <f aca="false">F2051*G2051</f>
        <v>2261880</v>
      </c>
    </row>
    <row r="2052" customFormat="false" ht="15" hidden="false" customHeight="false" outlineLevel="0" collapsed="false">
      <c r="A2052" s="27" t="n">
        <v>2025</v>
      </c>
      <c r="B2052" s="27" t="n">
        <v>9</v>
      </c>
      <c r="C2052" s="27" t="s">
        <v>42</v>
      </c>
      <c r="D2052" s="27" t="s">
        <v>26</v>
      </c>
      <c r="E2052" s="27" t="s">
        <v>50</v>
      </c>
      <c r="F2052" s="28" t="n">
        <v>1385</v>
      </c>
      <c r="G2052" s="29" t="n">
        <v>2490</v>
      </c>
      <c r="H2052" s="29" t="n">
        <f aca="false">F2052*G2052</f>
        <v>3448650</v>
      </c>
    </row>
    <row r="2053" customFormat="false" ht="15" hidden="false" customHeight="false" outlineLevel="0" collapsed="false">
      <c r="A2053" s="27" t="n">
        <v>2025</v>
      </c>
      <c r="B2053" s="27" t="n">
        <v>9</v>
      </c>
      <c r="C2053" s="27" t="s">
        <v>42</v>
      </c>
      <c r="D2053" s="27" t="s">
        <v>26</v>
      </c>
      <c r="E2053" s="27" t="s">
        <v>52</v>
      </c>
      <c r="F2053" s="28" t="n">
        <v>809</v>
      </c>
      <c r="G2053" s="29" t="n">
        <v>2530</v>
      </c>
      <c r="H2053" s="29" t="n">
        <f aca="false">F2053*G2053</f>
        <v>2046770</v>
      </c>
    </row>
    <row r="2054" customFormat="false" ht="15" hidden="false" customHeight="false" outlineLevel="0" collapsed="false">
      <c r="A2054" s="27" t="n">
        <v>2025</v>
      </c>
      <c r="B2054" s="27" t="n">
        <v>9</v>
      </c>
      <c r="C2054" s="27" t="s">
        <v>42</v>
      </c>
      <c r="D2054" s="27" t="s">
        <v>26</v>
      </c>
      <c r="E2054" s="27" t="s">
        <v>54</v>
      </c>
      <c r="F2054" s="28" t="n">
        <v>662</v>
      </c>
      <c r="G2054" s="29" t="n">
        <v>2500</v>
      </c>
      <c r="H2054" s="29" t="n">
        <f aca="false">F2054*G2054</f>
        <v>1655000</v>
      </c>
    </row>
    <row r="2055" customFormat="false" ht="15" hidden="false" customHeight="false" outlineLevel="0" collapsed="false">
      <c r="A2055" s="27" t="n">
        <v>2025</v>
      </c>
      <c r="B2055" s="27" t="n">
        <v>9</v>
      </c>
      <c r="C2055" s="27" t="s">
        <v>42</v>
      </c>
      <c r="D2055" s="27" t="s">
        <v>26</v>
      </c>
      <c r="E2055" s="27" t="s">
        <v>56</v>
      </c>
      <c r="F2055" s="28" t="n">
        <v>703</v>
      </c>
      <c r="G2055" s="29" t="n">
        <v>2510</v>
      </c>
      <c r="H2055" s="29" t="n">
        <f aca="false">F2055*G2055</f>
        <v>1764530</v>
      </c>
    </row>
    <row r="2056" customFormat="false" ht="15" hidden="false" customHeight="false" outlineLevel="0" collapsed="false">
      <c r="A2056" s="27" t="n">
        <v>2025</v>
      </c>
      <c r="B2056" s="27" t="n">
        <v>9</v>
      </c>
      <c r="C2056" s="27" t="s">
        <v>42</v>
      </c>
      <c r="D2056" s="27" t="s">
        <v>26</v>
      </c>
      <c r="E2056" s="27" t="s">
        <v>58</v>
      </c>
      <c r="F2056" s="28" t="n">
        <v>587</v>
      </c>
      <c r="G2056" s="29" t="n">
        <v>2480</v>
      </c>
      <c r="H2056" s="29" t="n">
        <f aca="false">F2056*G2056</f>
        <v>1455760</v>
      </c>
    </row>
    <row r="2057" customFormat="false" ht="15" hidden="false" customHeight="false" outlineLevel="0" collapsed="false">
      <c r="A2057" s="27" t="n">
        <v>2025</v>
      </c>
      <c r="B2057" s="27" t="n">
        <v>9</v>
      </c>
      <c r="C2057" s="27" t="s">
        <v>42</v>
      </c>
      <c r="D2057" s="27" t="s">
        <v>28</v>
      </c>
      <c r="E2057" s="27" t="s">
        <v>50</v>
      </c>
      <c r="F2057" s="28" t="n">
        <v>653</v>
      </c>
      <c r="G2057" s="29" t="n">
        <v>2340</v>
      </c>
      <c r="H2057" s="29" t="n">
        <f aca="false">F2057*G2057</f>
        <v>1528020</v>
      </c>
    </row>
    <row r="2058" customFormat="false" ht="15" hidden="false" customHeight="false" outlineLevel="0" collapsed="false">
      <c r="A2058" s="27" t="n">
        <v>2025</v>
      </c>
      <c r="B2058" s="27" t="n">
        <v>9</v>
      </c>
      <c r="C2058" s="27" t="s">
        <v>42</v>
      </c>
      <c r="D2058" s="27" t="s">
        <v>28</v>
      </c>
      <c r="E2058" s="27" t="s">
        <v>52</v>
      </c>
      <c r="F2058" s="28" t="n">
        <v>385</v>
      </c>
      <c r="G2058" s="29" t="n">
        <v>2340</v>
      </c>
      <c r="H2058" s="29" t="n">
        <f aca="false">F2058*G2058</f>
        <v>900900</v>
      </c>
    </row>
    <row r="2059" customFormat="false" ht="15" hidden="false" customHeight="false" outlineLevel="0" collapsed="false">
      <c r="A2059" s="27" t="n">
        <v>2025</v>
      </c>
      <c r="B2059" s="27" t="n">
        <v>9</v>
      </c>
      <c r="C2059" s="27" t="s">
        <v>42</v>
      </c>
      <c r="D2059" s="27" t="s">
        <v>28</v>
      </c>
      <c r="E2059" s="27" t="s">
        <v>54</v>
      </c>
      <c r="F2059" s="28" t="n">
        <v>305</v>
      </c>
      <c r="G2059" s="29" t="n">
        <v>2310</v>
      </c>
      <c r="H2059" s="29" t="n">
        <f aca="false">F2059*G2059</f>
        <v>704550</v>
      </c>
    </row>
    <row r="2060" customFormat="false" ht="15" hidden="false" customHeight="false" outlineLevel="0" collapsed="false">
      <c r="A2060" s="27" t="n">
        <v>2025</v>
      </c>
      <c r="B2060" s="27" t="n">
        <v>9</v>
      </c>
      <c r="C2060" s="27" t="s">
        <v>42</v>
      </c>
      <c r="D2060" s="27" t="s">
        <v>28</v>
      </c>
      <c r="E2060" s="27" t="s">
        <v>56</v>
      </c>
      <c r="F2060" s="28" t="n">
        <v>399</v>
      </c>
      <c r="G2060" s="29" t="n">
        <v>2350</v>
      </c>
      <c r="H2060" s="29" t="n">
        <f aca="false">F2060*G2060</f>
        <v>937650</v>
      </c>
    </row>
    <row r="2061" customFormat="false" ht="15" hidden="false" customHeight="false" outlineLevel="0" collapsed="false">
      <c r="A2061" s="27" t="n">
        <v>2025</v>
      </c>
      <c r="B2061" s="27" t="n">
        <v>9</v>
      </c>
      <c r="C2061" s="27" t="s">
        <v>42</v>
      </c>
      <c r="D2061" s="27" t="s">
        <v>28</v>
      </c>
      <c r="E2061" s="27" t="s">
        <v>58</v>
      </c>
      <c r="F2061" s="28" t="n">
        <v>249</v>
      </c>
      <c r="G2061" s="29" t="n">
        <v>2310</v>
      </c>
      <c r="H2061" s="29" t="n">
        <f aca="false">F2061*G2061</f>
        <v>575190</v>
      </c>
    </row>
    <row r="2062" customFormat="false" ht="15" hidden="false" customHeight="false" outlineLevel="0" collapsed="false">
      <c r="A2062" s="27" t="n">
        <v>2025</v>
      </c>
      <c r="B2062" s="27" t="n">
        <v>9</v>
      </c>
      <c r="C2062" s="27" t="s">
        <v>44</v>
      </c>
      <c r="D2062" s="27" t="s">
        <v>22</v>
      </c>
      <c r="E2062" s="27" t="s">
        <v>50</v>
      </c>
      <c r="F2062" s="28" t="n">
        <v>2985</v>
      </c>
      <c r="G2062" s="29" t="n">
        <v>4140</v>
      </c>
      <c r="H2062" s="29" t="n">
        <f aca="false">F2062*G2062</f>
        <v>12357900</v>
      </c>
    </row>
    <row r="2063" customFormat="false" ht="15" hidden="false" customHeight="false" outlineLevel="0" collapsed="false">
      <c r="A2063" s="27" t="n">
        <v>2025</v>
      </c>
      <c r="B2063" s="27" t="n">
        <v>9</v>
      </c>
      <c r="C2063" s="27" t="s">
        <v>44</v>
      </c>
      <c r="D2063" s="27" t="s">
        <v>22</v>
      </c>
      <c r="E2063" s="27" t="s">
        <v>52</v>
      </c>
      <c r="F2063" s="28" t="n">
        <v>1831</v>
      </c>
      <c r="G2063" s="29" t="n">
        <v>4130</v>
      </c>
      <c r="H2063" s="29" t="n">
        <f aca="false">F2063*G2063</f>
        <v>7562030</v>
      </c>
    </row>
    <row r="2064" customFormat="false" ht="15" hidden="false" customHeight="false" outlineLevel="0" collapsed="false">
      <c r="A2064" s="27" t="n">
        <v>2025</v>
      </c>
      <c r="B2064" s="27" t="n">
        <v>9</v>
      </c>
      <c r="C2064" s="27" t="s">
        <v>44</v>
      </c>
      <c r="D2064" s="27" t="s">
        <v>22</v>
      </c>
      <c r="E2064" s="27" t="s">
        <v>54</v>
      </c>
      <c r="F2064" s="28" t="n">
        <v>1600</v>
      </c>
      <c r="G2064" s="29" t="n">
        <v>4110</v>
      </c>
      <c r="H2064" s="29" t="n">
        <f aca="false">F2064*G2064</f>
        <v>6576000</v>
      </c>
    </row>
    <row r="2065" customFormat="false" ht="15" hidden="false" customHeight="false" outlineLevel="0" collapsed="false">
      <c r="A2065" s="27" t="n">
        <v>2025</v>
      </c>
      <c r="B2065" s="27" t="n">
        <v>9</v>
      </c>
      <c r="C2065" s="27" t="s">
        <v>44</v>
      </c>
      <c r="D2065" s="27" t="s">
        <v>22</v>
      </c>
      <c r="E2065" s="27" t="s">
        <v>56</v>
      </c>
      <c r="F2065" s="28" t="n">
        <v>1924</v>
      </c>
      <c r="G2065" s="29" t="n">
        <v>4100</v>
      </c>
      <c r="H2065" s="29" t="n">
        <f aca="false">F2065*G2065</f>
        <v>7888400</v>
      </c>
    </row>
    <row r="2066" customFormat="false" ht="15" hidden="false" customHeight="false" outlineLevel="0" collapsed="false">
      <c r="A2066" s="27" t="n">
        <v>2025</v>
      </c>
      <c r="B2066" s="27" t="n">
        <v>9</v>
      </c>
      <c r="C2066" s="27" t="s">
        <v>44</v>
      </c>
      <c r="D2066" s="27" t="s">
        <v>22</v>
      </c>
      <c r="E2066" s="27" t="s">
        <v>58</v>
      </c>
      <c r="F2066" s="28" t="n">
        <v>1240</v>
      </c>
      <c r="G2066" s="29" t="n">
        <v>4070</v>
      </c>
      <c r="H2066" s="29" t="n">
        <f aca="false">F2066*G2066</f>
        <v>5046800</v>
      </c>
    </row>
    <row r="2067" customFormat="false" ht="15" hidden="false" customHeight="false" outlineLevel="0" collapsed="false">
      <c r="A2067" s="27" t="n">
        <v>2025</v>
      </c>
      <c r="B2067" s="27" t="n">
        <v>9</v>
      </c>
      <c r="C2067" s="27" t="s">
        <v>44</v>
      </c>
      <c r="D2067" s="27" t="s">
        <v>24</v>
      </c>
      <c r="E2067" s="27" t="s">
        <v>50</v>
      </c>
      <c r="F2067" s="28" t="n">
        <v>1877</v>
      </c>
      <c r="G2067" s="29" t="n">
        <v>3800</v>
      </c>
      <c r="H2067" s="29" t="n">
        <f aca="false">F2067*G2067</f>
        <v>7132600</v>
      </c>
    </row>
    <row r="2068" customFormat="false" ht="15" hidden="false" customHeight="false" outlineLevel="0" collapsed="false">
      <c r="A2068" s="27" t="n">
        <v>2025</v>
      </c>
      <c r="B2068" s="27" t="n">
        <v>9</v>
      </c>
      <c r="C2068" s="27" t="s">
        <v>44</v>
      </c>
      <c r="D2068" s="27" t="s">
        <v>24</v>
      </c>
      <c r="E2068" s="27" t="s">
        <v>52</v>
      </c>
      <c r="F2068" s="28" t="n">
        <v>1136</v>
      </c>
      <c r="G2068" s="29" t="n">
        <v>3820</v>
      </c>
      <c r="H2068" s="29" t="n">
        <f aca="false">F2068*G2068</f>
        <v>4339520</v>
      </c>
    </row>
    <row r="2069" customFormat="false" ht="15" hidden="false" customHeight="false" outlineLevel="0" collapsed="false">
      <c r="A2069" s="27" t="n">
        <v>2025</v>
      </c>
      <c r="B2069" s="27" t="n">
        <v>9</v>
      </c>
      <c r="C2069" s="27" t="s">
        <v>44</v>
      </c>
      <c r="D2069" s="27" t="s">
        <v>24</v>
      </c>
      <c r="E2069" s="27" t="s">
        <v>54</v>
      </c>
      <c r="F2069" s="28" t="n">
        <v>846</v>
      </c>
      <c r="G2069" s="29" t="n">
        <v>3800</v>
      </c>
      <c r="H2069" s="29" t="n">
        <f aca="false">F2069*G2069</f>
        <v>3214800</v>
      </c>
    </row>
    <row r="2070" customFormat="false" ht="15" hidden="false" customHeight="false" outlineLevel="0" collapsed="false">
      <c r="A2070" s="27" t="n">
        <v>2025</v>
      </c>
      <c r="B2070" s="27" t="n">
        <v>9</v>
      </c>
      <c r="C2070" s="27" t="s">
        <v>44</v>
      </c>
      <c r="D2070" s="27" t="s">
        <v>24</v>
      </c>
      <c r="E2070" s="27" t="s">
        <v>56</v>
      </c>
      <c r="F2070" s="28" t="n">
        <v>1134</v>
      </c>
      <c r="G2070" s="29" t="n">
        <v>3830</v>
      </c>
      <c r="H2070" s="29" t="n">
        <f aca="false">F2070*G2070</f>
        <v>4343220</v>
      </c>
    </row>
    <row r="2071" customFormat="false" ht="15" hidden="false" customHeight="false" outlineLevel="0" collapsed="false">
      <c r="A2071" s="27" t="n">
        <v>2025</v>
      </c>
      <c r="B2071" s="27" t="n">
        <v>9</v>
      </c>
      <c r="C2071" s="27" t="s">
        <v>44</v>
      </c>
      <c r="D2071" s="27" t="s">
        <v>24</v>
      </c>
      <c r="E2071" s="27" t="s">
        <v>58</v>
      </c>
      <c r="F2071" s="28" t="n">
        <v>689</v>
      </c>
      <c r="G2071" s="29" t="n">
        <v>3840</v>
      </c>
      <c r="H2071" s="29" t="n">
        <f aca="false">F2071*G2071</f>
        <v>2645760</v>
      </c>
    </row>
    <row r="2072" customFormat="false" ht="15" hidden="false" customHeight="false" outlineLevel="0" collapsed="false">
      <c r="A2072" s="27" t="n">
        <v>2025</v>
      </c>
      <c r="B2072" s="27" t="n">
        <v>9</v>
      </c>
      <c r="C2072" s="27" t="s">
        <v>44</v>
      </c>
      <c r="D2072" s="27" t="s">
        <v>26</v>
      </c>
      <c r="E2072" s="27" t="s">
        <v>50</v>
      </c>
      <c r="F2072" s="28" t="n">
        <v>903</v>
      </c>
      <c r="G2072" s="29" t="n">
        <v>4770</v>
      </c>
      <c r="H2072" s="29" t="n">
        <f aca="false">F2072*G2072</f>
        <v>4307310</v>
      </c>
    </row>
    <row r="2073" customFormat="false" ht="15" hidden="false" customHeight="false" outlineLevel="0" collapsed="false">
      <c r="A2073" s="27" t="n">
        <v>2025</v>
      </c>
      <c r="B2073" s="27" t="n">
        <v>9</v>
      </c>
      <c r="C2073" s="27" t="s">
        <v>44</v>
      </c>
      <c r="D2073" s="27" t="s">
        <v>26</v>
      </c>
      <c r="E2073" s="27" t="s">
        <v>52</v>
      </c>
      <c r="F2073" s="28" t="n">
        <v>577</v>
      </c>
      <c r="G2073" s="29" t="n">
        <v>4590</v>
      </c>
      <c r="H2073" s="29" t="n">
        <f aca="false">F2073*G2073</f>
        <v>2648430</v>
      </c>
    </row>
    <row r="2074" customFormat="false" ht="15" hidden="false" customHeight="false" outlineLevel="0" collapsed="false">
      <c r="A2074" s="27" t="n">
        <v>2025</v>
      </c>
      <c r="B2074" s="27" t="n">
        <v>9</v>
      </c>
      <c r="C2074" s="27" t="s">
        <v>44</v>
      </c>
      <c r="D2074" s="27" t="s">
        <v>26</v>
      </c>
      <c r="E2074" s="27" t="s">
        <v>54</v>
      </c>
      <c r="F2074" s="28" t="n">
        <v>487</v>
      </c>
      <c r="G2074" s="29" t="n">
        <v>4520</v>
      </c>
      <c r="H2074" s="29" t="n">
        <f aca="false">F2074*G2074</f>
        <v>2201240</v>
      </c>
    </row>
    <row r="2075" customFormat="false" ht="15" hidden="false" customHeight="false" outlineLevel="0" collapsed="false">
      <c r="A2075" s="27" t="n">
        <v>2025</v>
      </c>
      <c r="B2075" s="27" t="n">
        <v>9</v>
      </c>
      <c r="C2075" s="27" t="s">
        <v>44</v>
      </c>
      <c r="D2075" s="27" t="s">
        <v>26</v>
      </c>
      <c r="E2075" s="27" t="s">
        <v>56</v>
      </c>
      <c r="F2075" s="28" t="n">
        <v>543</v>
      </c>
      <c r="G2075" s="29" t="n">
        <v>4700</v>
      </c>
      <c r="H2075" s="29" t="n">
        <f aca="false">F2075*G2075</f>
        <v>2552100</v>
      </c>
    </row>
    <row r="2076" customFormat="false" ht="15" hidden="false" customHeight="false" outlineLevel="0" collapsed="false">
      <c r="A2076" s="27" t="n">
        <v>2025</v>
      </c>
      <c r="B2076" s="27" t="n">
        <v>9</v>
      </c>
      <c r="C2076" s="27" t="s">
        <v>44</v>
      </c>
      <c r="D2076" s="27" t="s">
        <v>26</v>
      </c>
      <c r="E2076" s="27" t="s">
        <v>58</v>
      </c>
      <c r="F2076" s="28" t="n">
        <v>367</v>
      </c>
      <c r="G2076" s="29" t="n">
        <v>4530</v>
      </c>
      <c r="H2076" s="29" t="n">
        <f aca="false">F2076*G2076</f>
        <v>1662510</v>
      </c>
    </row>
    <row r="2077" customFormat="false" ht="15" hidden="false" customHeight="false" outlineLevel="0" collapsed="false">
      <c r="A2077" s="27" t="n">
        <v>2025</v>
      </c>
      <c r="B2077" s="27" t="n">
        <v>9</v>
      </c>
      <c r="C2077" s="27" t="s">
        <v>44</v>
      </c>
      <c r="D2077" s="27" t="s">
        <v>28</v>
      </c>
      <c r="E2077" s="27" t="s">
        <v>50</v>
      </c>
      <c r="F2077" s="28" t="n">
        <v>421</v>
      </c>
      <c r="G2077" s="29" t="n">
        <v>4380</v>
      </c>
      <c r="H2077" s="29" t="n">
        <f aca="false">F2077*G2077</f>
        <v>1843980</v>
      </c>
    </row>
    <row r="2078" customFormat="false" ht="15" hidden="false" customHeight="false" outlineLevel="0" collapsed="false">
      <c r="A2078" s="27" t="n">
        <v>2025</v>
      </c>
      <c r="B2078" s="27" t="n">
        <v>9</v>
      </c>
      <c r="C2078" s="27" t="s">
        <v>44</v>
      </c>
      <c r="D2078" s="27" t="s">
        <v>28</v>
      </c>
      <c r="E2078" s="27" t="s">
        <v>52</v>
      </c>
      <c r="F2078" s="28" t="n">
        <v>273</v>
      </c>
      <c r="G2078" s="29" t="n">
        <v>4280</v>
      </c>
      <c r="H2078" s="29" t="n">
        <f aca="false">F2078*G2078</f>
        <v>1168440</v>
      </c>
    </row>
    <row r="2079" customFormat="false" ht="15" hidden="false" customHeight="false" outlineLevel="0" collapsed="false">
      <c r="A2079" s="27" t="n">
        <v>2025</v>
      </c>
      <c r="B2079" s="27" t="n">
        <v>9</v>
      </c>
      <c r="C2079" s="27" t="s">
        <v>44</v>
      </c>
      <c r="D2079" s="27" t="s">
        <v>28</v>
      </c>
      <c r="E2079" s="27" t="s">
        <v>54</v>
      </c>
      <c r="F2079" s="28" t="n">
        <v>207</v>
      </c>
      <c r="G2079" s="29" t="n">
        <v>4300</v>
      </c>
      <c r="H2079" s="29" t="n">
        <f aca="false">F2079*G2079</f>
        <v>890100</v>
      </c>
    </row>
    <row r="2080" customFormat="false" ht="15" hidden="false" customHeight="false" outlineLevel="0" collapsed="false">
      <c r="A2080" s="27" t="n">
        <v>2025</v>
      </c>
      <c r="B2080" s="27" t="n">
        <v>9</v>
      </c>
      <c r="C2080" s="27" t="s">
        <v>44</v>
      </c>
      <c r="D2080" s="27" t="s">
        <v>28</v>
      </c>
      <c r="E2080" s="27" t="s">
        <v>56</v>
      </c>
      <c r="F2080" s="28" t="n">
        <v>259</v>
      </c>
      <c r="G2080" s="29" t="n">
        <v>4380</v>
      </c>
      <c r="H2080" s="29" t="n">
        <f aca="false">F2080*G2080</f>
        <v>1134420</v>
      </c>
    </row>
    <row r="2081" customFormat="false" ht="15" hidden="false" customHeight="false" outlineLevel="0" collapsed="false">
      <c r="A2081" s="27" t="n">
        <v>2025</v>
      </c>
      <c r="B2081" s="27" t="n">
        <v>9</v>
      </c>
      <c r="C2081" s="27" t="s">
        <v>44</v>
      </c>
      <c r="D2081" s="27" t="s">
        <v>28</v>
      </c>
      <c r="E2081" s="27" t="s">
        <v>58</v>
      </c>
      <c r="F2081" s="28" t="n">
        <v>184</v>
      </c>
      <c r="G2081" s="29" t="n">
        <v>4340</v>
      </c>
      <c r="H2081" s="29" t="n">
        <f aca="false">F2081*G2081</f>
        <v>798560</v>
      </c>
    </row>
    <row r="2082" customFormat="false" ht="15" hidden="false" customHeight="false" outlineLevel="0" collapsed="false">
      <c r="A2082" s="27" t="n">
        <v>2025</v>
      </c>
      <c r="B2082" s="27" t="n">
        <v>9</v>
      </c>
      <c r="C2082" s="27" t="s">
        <v>45</v>
      </c>
      <c r="D2082" s="27" t="s">
        <v>22</v>
      </c>
      <c r="E2082" s="27" t="s">
        <v>50</v>
      </c>
      <c r="F2082" s="28" t="n">
        <v>2953</v>
      </c>
      <c r="G2082" s="29" t="n">
        <v>2500</v>
      </c>
      <c r="H2082" s="29" t="n">
        <f aca="false">F2082*G2082</f>
        <v>7382500</v>
      </c>
    </row>
    <row r="2083" customFormat="false" ht="15" hidden="false" customHeight="false" outlineLevel="0" collapsed="false">
      <c r="A2083" s="27" t="n">
        <v>2025</v>
      </c>
      <c r="B2083" s="27" t="n">
        <v>9</v>
      </c>
      <c r="C2083" s="27" t="s">
        <v>45</v>
      </c>
      <c r="D2083" s="27" t="s">
        <v>22</v>
      </c>
      <c r="E2083" s="27" t="s">
        <v>52</v>
      </c>
      <c r="F2083" s="28" t="n">
        <v>2030</v>
      </c>
      <c r="G2083" s="29" t="n">
        <v>2500</v>
      </c>
      <c r="H2083" s="29" t="n">
        <f aca="false">F2083*G2083</f>
        <v>5075000</v>
      </c>
    </row>
    <row r="2084" customFormat="false" ht="15" hidden="false" customHeight="false" outlineLevel="0" collapsed="false">
      <c r="A2084" s="27" t="n">
        <v>2025</v>
      </c>
      <c r="B2084" s="27" t="n">
        <v>9</v>
      </c>
      <c r="C2084" s="27" t="s">
        <v>45</v>
      </c>
      <c r="D2084" s="27" t="s">
        <v>22</v>
      </c>
      <c r="E2084" s="27" t="s">
        <v>54</v>
      </c>
      <c r="F2084" s="28" t="n">
        <v>1564</v>
      </c>
      <c r="G2084" s="29" t="n">
        <v>2540</v>
      </c>
      <c r="H2084" s="29" t="n">
        <f aca="false">F2084*G2084</f>
        <v>3972560</v>
      </c>
    </row>
    <row r="2085" customFormat="false" ht="15" hidden="false" customHeight="false" outlineLevel="0" collapsed="false">
      <c r="A2085" s="27" t="n">
        <v>2025</v>
      </c>
      <c r="B2085" s="27" t="n">
        <v>9</v>
      </c>
      <c r="C2085" s="27" t="s">
        <v>45</v>
      </c>
      <c r="D2085" s="27" t="s">
        <v>22</v>
      </c>
      <c r="E2085" s="27" t="s">
        <v>56</v>
      </c>
      <c r="F2085" s="28" t="n">
        <v>1772</v>
      </c>
      <c r="G2085" s="29" t="n">
        <v>2510</v>
      </c>
      <c r="H2085" s="29" t="n">
        <f aca="false">F2085*G2085</f>
        <v>4447720</v>
      </c>
    </row>
    <row r="2086" customFormat="false" ht="15" hidden="false" customHeight="false" outlineLevel="0" collapsed="false">
      <c r="A2086" s="27" t="n">
        <v>2025</v>
      </c>
      <c r="B2086" s="27" t="n">
        <v>9</v>
      </c>
      <c r="C2086" s="27" t="s">
        <v>45</v>
      </c>
      <c r="D2086" s="27" t="s">
        <v>22</v>
      </c>
      <c r="E2086" s="27" t="s">
        <v>58</v>
      </c>
      <c r="F2086" s="28" t="n">
        <v>1279</v>
      </c>
      <c r="G2086" s="29" t="n">
        <v>2540</v>
      </c>
      <c r="H2086" s="29" t="n">
        <f aca="false">F2086*G2086</f>
        <v>3248660</v>
      </c>
    </row>
    <row r="2087" customFormat="false" ht="15" hidden="false" customHeight="false" outlineLevel="0" collapsed="false">
      <c r="A2087" s="27" t="n">
        <v>2025</v>
      </c>
      <c r="B2087" s="27" t="n">
        <v>9</v>
      </c>
      <c r="C2087" s="27" t="s">
        <v>45</v>
      </c>
      <c r="D2087" s="27" t="s">
        <v>24</v>
      </c>
      <c r="E2087" s="27" t="s">
        <v>50</v>
      </c>
      <c r="F2087" s="28" t="n">
        <v>1929</v>
      </c>
      <c r="G2087" s="29" t="n">
        <v>2370</v>
      </c>
      <c r="H2087" s="29" t="n">
        <f aca="false">F2087*G2087</f>
        <v>4571730</v>
      </c>
    </row>
    <row r="2088" customFormat="false" ht="15" hidden="false" customHeight="false" outlineLevel="0" collapsed="false">
      <c r="A2088" s="27" t="n">
        <v>2025</v>
      </c>
      <c r="B2088" s="27" t="n">
        <v>9</v>
      </c>
      <c r="C2088" s="27" t="s">
        <v>45</v>
      </c>
      <c r="D2088" s="27" t="s">
        <v>24</v>
      </c>
      <c r="E2088" s="27" t="s">
        <v>52</v>
      </c>
      <c r="F2088" s="28" t="n">
        <v>1149</v>
      </c>
      <c r="G2088" s="29" t="n">
        <v>2340</v>
      </c>
      <c r="H2088" s="29" t="n">
        <f aca="false">F2088*G2088</f>
        <v>2688660</v>
      </c>
    </row>
    <row r="2089" customFormat="false" ht="15" hidden="false" customHeight="false" outlineLevel="0" collapsed="false">
      <c r="A2089" s="27" t="n">
        <v>2025</v>
      </c>
      <c r="B2089" s="27" t="n">
        <v>9</v>
      </c>
      <c r="C2089" s="27" t="s">
        <v>45</v>
      </c>
      <c r="D2089" s="27" t="s">
        <v>24</v>
      </c>
      <c r="E2089" s="27" t="s">
        <v>54</v>
      </c>
      <c r="F2089" s="28" t="n">
        <v>867</v>
      </c>
      <c r="G2089" s="29" t="n">
        <v>2340</v>
      </c>
      <c r="H2089" s="29" t="n">
        <f aca="false">F2089*G2089</f>
        <v>2028780</v>
      </c>
    </row>
    <row r="2090" customFormat="false" ht="15" hidden="false" customHeight="false" outlineLevel="0" collapsed="false">
      <c r="A2090" s="27" t="n">
        <v>2025</v>
      </c>
      <c r="B2090" s="27" t="n">
        <v>9</v>
      </c>
      <c r="C2090" s="27" t="s">
        <v>45</v>
      </c>
      <c r="D2090" s="27" t="s">
        <v>24</v>
      </c>
      <c r="E2090" s="27" t="s">
        <v>56</v>
      </c>
      <c r="F2090" s="28" t="n">
        <v>1110</v>
      </c>
      <c r="G2090" s="29" t="n">
        <v>2360</v>
      </c>
      <c r="H2090" s="29" t="n">
        <f aca="false">F2090*G2090</f>
        <v>2619600</v>
      </c>
    </row>
    <row r="2091" customFormat="false" ht="15" hidden="false" customHeight="false" outlineLevel="0" collapsed="false">
      <c r="A2091" s="27" t="n">
        <v>2025</v>
      </c>
      <c r="B2091" s="27" t="n">
        <v>9</v>
      </c>
      <c r="C2091" s="27" t="s">
        <v>45</v>
      </c>
      <c r="D2091" s="27" t="s">
        <v>24</v>
      </c>
      <c r="E2091" s="27" t="s">
        <v>58</v>
      </c>
      <c r="F2091" s="28" t="n">
        <v>666</v>
      </c>
      <c r="G2091" s="29" t="n">
        <v>2340</v>
      </c>
      <c r="H2091" s="29" t="n">
        <f aca="false">F2091*G2091</f>
        <v>1558440</v>
      </c>
    </row>
    <row r="2092" customFormat="false" ht="15" hidden="false" customHeight="false" outlineLevel="0" collapsed="false">
      <c r="A2092" s="27" t="n">
        <v>2025</v>
      </c>
      <c r="B2092" s="27" t="n">
        <v>9</v>
      </c>
      <c r="C2092" s="27" t="s">
        <v>45</v>
      </c>
      <c r="D2092" s="27" t="s">
        <v>26</v>
      </c>
      <c r="E2092" s="27" t="s">
        <v>50</v>
      </c>
      <c r="F2092" s="28" t="n">
        <v>989</v>
      </c>
      <c r="G2092" s="29" t="n">
        <v>2840</v>
      </c>
      <c r="H2092" s="29" t="n">
        <f aca="false">F2092*G2092</f>
        <v>2808760</v>
      </c>
    </row>
    <row r="2093" customFormat="false" ht="15" hidden="false" customHeight="false" outlineLevel="0" collapsed="false">
      <c r="A2093" s="27" t="n">
        <v>2025</v>
      </c>
      <c r="B2093" s="27" t="n">
        <v>9</v>
      </c>
      <c r="C2093" s="27" t="s">
        <v>45</v>
      </c>
      <c r="D2093" s="27" t="s">
        <v>26</v>
      </c>
      <c r="E2093" s="27" t="s">
        <v>52</v>
      </c>
      <c r="F2093" s="28" t="n">
        <v>542</v>
      </c>
      <c r="G2093" s="29" t="n">
        <v>2900</v>
      </c>
      <c r="H2093" s="29" t="n">
        <f aca="false">F2093*G2093</f>
        <v>1571800</v>
      </c>
    </row>
    <row r="2094" customFormat="false" ht="15" hidden="false" customHeight="false" outlineLevel="0" collapsed="false">
      <c r="A2094" s="27" t="n">
        <v>2025</v>
      </c>
      <c r="B2094" s="27" t="n">
        <v>9</v>
      </c>
      <c r="C2094" s="27" t="s">
        <v>45</v>
      </c>
      <c r="D2094" s="27" t="s">
        <v>26</v>
      </c>
      <c r="E2094" s="27" t="s">
        <v>54</v>
      </c>
      <c r="F2094" s="28" t="n">
        <v>466</v>
      </c>
      <c r="G2094" s="29" t="n">
        <v>2850</v>
      </c>
      <c r="H2094" s="29" t="n">
        <f aca="false">F2094*G2094</f>
        <v>1328100</v>
      </c>
    </row>
    <row r="2095" customFormat="false" ht="15" hidden="false" customHeight="false" outlineLevel="0" collapsed="false">
      <c r="A2095" s="27" t="n">
        <v>2025</v>
      </c>
      <c r="B2095" s="27" t="n">
        <v>9</v>
      </c>
      <c r="C2095" s="27" t="s">
        <v>45</v>
      </c>
      <c r="D2095" s="27" t="s">
        <v>26</v>
      </c>
      <c r="E2095" s="27" t="s">
        <v>56</v>
      </c>
      <c r="F2095" s="28" t="n">
        <v>565</v>
      </c>
      <c r="G2095" s="29" t="n">
        <v>2830</v>
      </c>
      <c r="H2095" s="29" t="n">
        <f aca="false">F2095*G2095</f>
        <v>1598950</v>
      </c>
    </row>
    <row r="2096" customFormat="false" ht="15" hidden="false" customHeight="false" outlineLevel="0" collapsed="false">
      <c r="A2096" s="27" t="n">
        <v>2025</v>
      </c>
      <c r="B2096" s="27" t="n">
        <v>9</v>
      </c>
      <c r="C2096" s="27" t="s">
        <v>45</v>
      </c>
      <c r="D2096" s="27" t="s">
        <v>26</v>
      </c>
      <c r="E2096" s="27" t="s">
        <v>58</v>
      </c>
      <c r="F2096" s="28" t="n">
        <v>365</v>
      </c>
      <c r="G2096" s="29" t="n">
        <v>2900</v>
      </c>
      <c r="H2096" s="29" t="n">
        <f aca="false">F2096*G2096</f>
        <v>1058500</v>
      </c>
    </row>
    <row r="2097" customFormat="false" ht="15" hidden="false" customHeight="false" outlineLevel="0" collapsed="false">
      <c r="A2097" s="27" t="n">
        <v>2025</v>
      </c>
      <c r="B2097" s="27" t="n">
        <v>9</v>
      </c>
      <c r="C2097" s="27" t="s">
        <v>45</v>
      </c>
      <c r="D2097" s="27" t="s">
        <v>28</v>
      </c>
      <c r="E2097" s="27" t="s">
        <v>50</v>
      </c>
      <c r="F2097" s="28" t="n">
        <v>462</v>
      </c>
      <c r="G2097" s="29" t="n">
        <v>2680</v>
      </c>
      <c r="H2097" s="29" t="n">
        <f aca="false">F2097*G2097</f>
        <v>1238160</v>
      </c>
    </row>
    <row r="2098" customFormat="false" ht="15" hidden="false" customHeight="false" outlineLevel="0" collapsed="false">
      <c r="A2098" s="27" t="n">
        <v>2025</v>
      </c>
      <c r="B2098" s="27" t="n">
        <v>9</v>
      </c>
      <c r="C2098" s="27" t="s">
        <v>45</v>
      </c>
      <c r="D2098" s="27" t="s">
        <v>28</v>
      </c>
      <c r="E2098" s="27" t="s">
        <v>52</v>
      </c>
      <c r="F2098" s="28" t="n">
        <v>283</v>
      </c>
      <c r="G2098" s="29" t="n">
        <v>2630</v>
      </c>
      <c r="H2098" s="29" t="n">
        <f aca="false">F2098*G2098</f>
        <v>744290</v>
      </c>
    </row>
    <row r="2099" customFormat="false" ht="15" hidden="false" customHeight="false" outlineLevel="0" collapsed="false">
      <c r="A2099" s="27" t="n">
        <v>2025</v>
      </c>
      <c r="B2099" s="27" t="n">
        <v>9</v>
      </c>
      <c r="C2099" s="27" t="s">
        <v>45</v>
      </c>
      <c r="D2099" s="27" t="s">
        <v>28</v>
      </c>
      <c r="E2099" s="27" t="s">
        <v>54</v>
      </c>
      <c r="F2099" s="28" t="n">
        <v>234</v>
      </c>
      <c r="G2099" s="29" t="n">
        <v>2640</v>
      </c>
      <c r="H2099" s="29" t="n">
        <f aca="false">F2099*G2099</f>
        <v>617760</v>
      </c>
    </row>
    <row r="2100" customFormat="false" ht="15" hidden="false" customHeight="false" outlineLevel="0" collapsed="false">
      <c r="A2100" s="27" t="n">
        <v>2025</v>
      </c>
      <c r="B2100" s="27" t="n">
        <v>9</v>
      </c>
      <c r="C2100" s="27" t="s">
        <v>45</v>
      </c>
      <c r="D2100" s="27" t="s">
        <v>28</v>
      </c>
      <c r="E2100" s="27" t="s">
        <v>56</v>
      </c>
      <c r="F2100" s="28" t="n">
        <v>265</v>
      </c>
      <c r="G2100" s="29" t="n">
        <v>2620</v>
      </c>
      <c r="H2100" s="29" t="n">
        <f aca="false">F2100*G2100</f>
        <v>694300</v>
      </c>
    </row>
    <row r="2101" customFormat="false" ht="15" hidden="false" customHeight="false" outlineLevel="0" collapsed="false">
      <c r="A2101" s="27" t="n">
        <v>2025</v>
      </c>
      <c r="B2101" s="27" t="n">
        <v>9</v>
      </c>
      <c r="C2101" s="27" t="s">
        <v>45</v>
      </c>
      <c r="D2101" s="27" t="s">
        <v>28</v>
      </c>
      <c r="E2101" s="27" t="s">
        <v>58</v>
      </c>
      <c r="F2101" s="28" t="n">
        <v>161</v>
      </c>
      <c r="G2101" s="29" t="n">
        <v>2670</v>
      </c>
      <c r="H2101" s="29" t="n">
        <f aca="false">F2101*G2101</f>
        <v>429870</v>
      </c>
    </row>
    <row r="2102" customFormat="false" ht="15" hidden="false" customHeight="false" outlineLevel="0" collapsed="false">
      <c r="A2102" s="27" t="n">
        <v>2025</v>
      </c>
      <c r="B2102" s="27" t="n">
        <v>10</v>
      </c>
      <c r="C2102" s="27" t="s">
        <v>38</v>
      </c>
      <c r="D2102" s="27" t="s">
        <v>22</v>
      </c>
      <c r="E2102" s="27" t="s">
        <v>50</v>
      </c>
      <c r="F2102" s="28" t="n">
        <v>7899</v>
      </c>
      <c r="G2102" s="29" t="n">
        <v>2690</v>
      </c>
      <c r="H2102" s="29" t="n">
        <f aca="false">F2102*G2102</f>
        <v>21248310</v>
      </c>
    </row>
    <row r="2103" customFormat="false" ht="15" hidden="false" customHeight="false" outlineLevel="0" collapsed="false">
      <c r="A2103" s="27" t="n">
        <v>2025</v>
      </c>
      <c r="B2103" s="27" t="n">
        <v>10</v>
      </c>
      <c r="C2103" s="27" t="s">
        <v>38</v>
      </c>
      <c r="D2103" s="27" t="s">
        <v>22</v>
      </c>
      <c r="E2103" s="27" t="s">
        <v>52</v>
      </c>
      <c r="F2103" s="28" t="n">
        <v>5284</v>
      </c>
      <c r="G2103" s="29" t="n">
        <v>2800</v>
      </c>
      <c r="H2103" s="29" t="n">
        <f aca="false">F2103*G2103</f>
        <v>14795200</v>
      </c>
    </row>
    <row r="2104" customFormat="false" ht="15" hidden="false" customHeight="false" outlineLevel="0" collapsed="false">
      <c r="A2104" s="27" t="n">
        <v>2025</v>
      </c>
      <c r="B2104" s="27" t="n">
        <v>10</v>
      </c>
      <c r="C2104" s="27" t="s">
        <v>38</v>
      </c>
      <c r="D2104" s="27" t="s">
        <v>22</v>
      </c>
      <c r="E2104" s="27" t="s">
        <v>54</v>
      </c>
      <c r="F2104" s="28" t="n">
        <v>4402</v>
      </c>
      <c r="G2104" s="29" t="n">
        <v>2740</v>
      </c>
      <c r="H2104" s="29" t="n">
        <f aca="false">F2104*G2104</f>
        <v>12061480</v>
      </c>
    </row>
    <row r="2105" customFormat="false" ht="15" hidden="false" customHeight="false" outlineLevel="0" collapsed="false">
      <c r="A2105" s="27" t="n">
        <v>2025</v>
      </c>
      <c r="B2105" s="27" t="n">
        <v>10</v>
      </c>
      <c r="C2105" s="27" t="s">
        <v>38</v>
      </c>
      <c r="D2105" s="27" t="s">
        <v>22</v>
      </c>
      <c r="E2105" s="27" t="s">
        <v>56</v>
      </c>
      <c r="F2105" s="28" t="n">
        <v>4890</v>
      </c>
      <c r="G2105" s="29" t="n">
        <v>2770</v>
      </c>
      <c r="H2105" s="29" t="n">
        <f aca="false">F2105*G2105</f>
        <v>13545300</v>
      </c>
    </row>
    <row r="2106" customFormat="false" ht="15" hidden="false" customHeight="false" outlineLevel="0" collapsed="false">
      <c r="A2106" s="27" t="n">
        <v>2025</v>
      </c>
      <c r="B2106" s="27" t="n">
        <v>10</v>
      </c>
      <c r="C2106" s="27" t="s">
        <v>38</v>
      </c>
      <c r="D2106" s="27" t="s">
        <v>22</v>
      </c>
      <c r="E2106" s="27" t="s">
        <v>58</v>
      </c>
      <c r="F2106" s="28" t="n">
        <v>3532</v>
      </c>
      <c r="G2106" s="29" t="n">
        <v>2730</v>
      </c>
      <c r="H2106" s="29" t="n">
        <f aca="false">F2106*G2106</f>
        <v>9642360</v>
      </c>
    </row>
    <row r="2107" customFormat="false" ht="15" hidden="false" customHeight="false" outlineLevel="0" collapsed="false">
      <c r="A2107" s="27" t="n">
        <v>2025</v>
      </c>
      <c r="B2107" s="27" t="n">
        <v>10</v>
      </c>
      <c r="C2107" s="27" t="s">
        <v>38</v>
      </c>
      <c r="D2107" s="27" t="s">
        <v>24</v>
      </c>
      <c r="E2107" s="27" t="s">
        <v>50</v>
      </c>
      <c r="F2107" s="28" t="n">
        <v>4774</v>
      </c>
      <c r="G2107" s="29" t="n">
        <v>2560</v>
      </c>
      <c r="H2107" s="29" t="n">
        <f aca="false">F2107*G2107</f>
        <v>12221440</v>
      </c>
    </row>
    <row r="2108" customFormat="false" ht="15" hidden="false" customHeight="false" outlineLevel="0" collapsed="false">
      <c r="A2108" s="27" t="n">
        <v>2025</v>
      </c>
      <c r="B2108" s="27" t="n">
        <v>10</v>
      </c>
      <c r="C2108" s="27" t="s">
        <v>38</v>
      </c>
      <c r="D2108" s="27" t="s">
        <v>24</v>
      </c>
      <c r="E2108" s="27" t="s">
        <v>52</v>
      </c>
      <c r="F2108" s="28" t="n">
        <v>3061</v>
      </c>
      <c r="G2108" s="29" t="n">
        <v>2550</v>
      </c>
      <c r="H2108" s="29" t="n">
        <f aca="false">F2108*G2108</f>
        <v>7805550</v>
      </c>
    </row>
    <row r="2109" customFormat="false" ht="15" hidden="false" customHeight="false" outlineLevel="0" collapsed="false">
      <c r="A2109" s="27" t="n">
        <v>2025</v>
      </c>
      <c r="B2109" s="27" t="n">
        <v>10</v>
      </c>
      <c r="C2109" s="27" t="s">
        <v>38</v>
      </c>
      <c r="D2109" s="27" t="s">
        <v>24</v>
      </c>
      <c r="E2109" s="27" t="s">
        <v>54</v>
      </c>
      <c r="F2109" s="28" t="n">
        <v>2369</v>
      </c>
      <c r="G2109" s="29" t="n">
        <v>2590</v>
      </c>
      <c r="H2109" s="29" t="n">
        <f aca="false">F2109*G2109</f>
        <v>6135710</v>
      </c>
    </row>
    <row r="2110" customFormat="false" ht="15" hidden="false" customHeight="false" outlineLevel="0" collapsed="false">
      <c r="A2110" s="27" t="n">
        <v>2025</v>
      </c>
      <c r="B2110" s="27" t="n">
        <v>10</v>
      </c>
      <c r="C2110" s="27" t="s">
        <v>38</v>
      </c>
      <c r="D2110" s="27" t="s">
        <v>24</v>
      </c>
      <c r="E2110" s="27" t="s">
        <v>56</v>
      </c>
      <c r="F2110" s="28" t="n">
        <v>3001</v>
      </c>
      <c r="G2110" s="29" t="n">
        <v>2560</v>
      </c>
      <c r="H2110" s="29" t="n">
        <f aca="false">F2110*G2110</f>
        <v>7682560</v>
      </c>
    </row>
    <row r="2111" customFormat="false" ht="15" hidden="false" customHeight="false" outlineLevel="0" collapsed="false">
      <c r="A2111" s="27" t="n">
        <v>2025</v>
      </c>
      <c r="B2111" s="27" t="n">
        <v>10</v>
      </c>
      <c r="C2111" s="27" t="s">
        <v>38</v>
      </c>
      <c r="D2111" s="27" t="s">
        <v>24</v>
      </c>
      <c r="E2111" s="27" t="s">
        <v>58</v>
      </c>
      <c r="F2111" s="28" t="n">
        <v>2103</v>
      </c>
      <c r="G2111" s="29" t="n">
        <v>2540</v>
      </c>
      <c r="H2111" s="29" t="n">
        <f aca="false">F2111*G2111</f>
        <v>5341620</v>
      </c>
    </row>
    <row r="2112" customFormat="false" ht="15" hidden="false" customHeight="false" outlineLevel="0" collapsed="false">
      <c r="A2112" s="27" t="n">
        <v>2025</v>
      </c>
      <c r="B2112" s="27" t="n">
        <v>10</v>
      </c>
      <c r="C2112" s="27" t="s">
        <v>38</v>
      </c>
      <c r="D2112" s="27" t="s">
        <v>26</v>
      </c>
      <c r="E2112" s="27" t="s">
        <v>50</v>
      </c>
      <c r="F2112" s="28" t="n">
        <v>2624</v>
      </c>
      <c r="G2112" s="29" t="n">
        <v>3090</v>
      </c>
      <c r="H2112" s="29" t="n">
        <f aca="false">F2112*G2112</f>
        <v>8108160</v>
      </c>
    </row>
    <row r="2113" customFormat="false" ht="15" hidden="false" customHeight="false" outlineLevel="0" collapsed="false">
      <c r="A2113" s="27" t="n">
        <v>2025</v>
      </c>
      <c r="B2113" s="27" t="n">
        <v>10</v>
      </c>
      <c r="C2113" s="27" t="s">
        <v>38</v>
      </c>
      <c r="D2113" s="27" t="s">
        <v>26</v>
      </c>
      <c r="E2113" s="27" t="s">
        <v>52</v>
      </c>
      <c r="F2113" s="28" t="n">
        <v>1765</v>
      </c>
      <c r="G2113" s="29" t="n">
        <v>3040</v>
      </c>
      <c r="H2113" s="29" t="n">
        <f aca="false">F2113*G2113</f>
        <v>5365600</v>
      </c>
    </row>
    <row r="2114" customFormat="false" ht="15" hidden="false" customHeight="false" outlineLevel="0" collapsed="false">
      <c r="A2114" s="27" t="n">
        <v>2025</v>
      </c>
      <c r="B2114" s="27" t="n">
        <v>10</v>
      </c>
      <c r="C2114" s="27" t="s">
        <v>38</v>
      </c>
      <c r="D2114" s="27" t="s">
        <v>26</v>
      </c>
      <c r="E2114" s="27" t="s">
        <v>54</v>
      </c>
      <c r="F2114" s="28" t="n">
        <v>1172</v>
      </c>
      <c r="G2114" s="29" t="n">
        <v>3090</v>
      </c>
      <c r="H2114" s="29" t="n">
        <f aca="false">F2114*G2114</f>
        <v>3621480</v>
      </c>
    </row>
    <row r="2115" customFormat="false" ht="15" hidden="false" customHeight="false" outlineLevel="0" collapsed="false">
      <c r="A2115" s="27" t="n">
        <v>2025</v>
      </c>
      <c r="B2115" s="27" t="n">
        <v>10</v>
      </c>
      <c r="C2115" s="27" t="s">
        <v>38</v>
      </c>
      <c r="D2115" s="27" t="s">
        <v>26</v>
      </c>
      <c r="E2115" s="27" t="s">
        <v>56</v>
      </c>
      <c r="F2115" s="28" t="n">
        <v>1470</v>
      </c>
      <c r="G2115" s="29" t="n">
        <v>3130</v>
      </c>
      <c r="H2115" s="29" t="n">
        <f aca="false">F2115*G2115</f>
        <v>4601100</v>
      </c>
    </row>
    <row r="2116" customFormat="false" ht="15" hidden="false" customHeight="false" outlineLevel="0" collapsed="false">
      <c r="A2116" s="27" t="n">
        <v>2025</v>
      </c>
      <c r="B2116" s="27" t="n">
        <v>10</v>
      </c>
      <c r="C2116" s="27" t="s">
        <v>38</v>
      </c>
      <c r="D2116" s="27" t="s">
        <v>26</v>
      </c>
      <c r="E2116" s="27" t="s">
        <v>58</v>
      </c>
      <c r="F2116" s="28" t="n">
        <v>953</v>
      </c>
      <c r="G2116" s="29" t="n">
        <v>3100</v>
      </c>
      <c r="H2116" s="29" t="n">
        <f aca="false">F2116*G2116</f>
        <v>2954300</v>
      </c>
    </row>
    <row r="2117" customFormat="false" ht="15" hidden="false" customHeight="false" outlineLevel="0" collapsed="false">
      <c r="A2117" s="27" t="n">
        <v>2025</v>
      </c>
      <c r="B2117" s="27" t="n">
        <v>10</v>
      </c>
      <c r="C2117" s="27" t="s">
        <v>38</v>
      </c>
      <c r="D2117" s="27" t="s">
        <v>28</v>
      </c>
      <c r="E2117" s="27" t="s">
        <v>50</v>
      </c>
      <c r="F2117" s="28" t="n">
        <v>1212</v>
      </c>
      <c r="G2117" s="29" t="n">
        <v>2900</v>
      </c>
      <c r="H2117" s="29" t="n">
        <f aca="false">F2117*G2117</f>
        <v>3514800</v>
      </c>
    </row>
    <row r="2118" customFormat="false" ht="15" hidden="false" customHeight="false" outlineLevel="0" collapsed="false">
      <c r="A2118" s="27" t="n">
        <v>2025</v>
      </c>
      <c r="B2118" s="27" t="n">
        <v>10</v>
      </c>
      <c r="C2118" s="27" t="s">
        <v>38</v>
      </c>
      <c r="D2118" s="27" t="s">
        <v>28</v>
      </c>
      <c r="E2118" s="27" t="s">
        <v>52</v>
      </c>
      <c r="F2118" s="28" t="n">
        <v>682</v>
      </c>
      <c r="G2118" s="29" t="n">
        <v>2920</v>
      </c>
      <c r="H2118" s="29" t="n">
        <f aca="false">F2118*G2118</f>
        <v>1991440</v>
      </c>
    </row>
    <row r="2119" customFormat="false" ht="15" hidden="false" customHeight="false" outlineLevel="0" collapsed="false">
      <c r="A2119" s="27" t="n">
        <v>2025</v>
      </c>
      <c r="B2119" s="27" t="n">
        <v>10</v>
      </c>
      <c r="C2119" s="27" t="s">
        <v>38</v>
      </c>
      <c r="D2119" s="27" t="s">
        <v>28</v>
      </c>
      <c r="E2119" s="27" t="s">
        <v>54</v>
      </c>
      <c r="F2119" s="28" t="n">
        <v>608</v>
      </c>
      <c r="G2119" s="29" t="n">
        <v>2900</v>
      </c>
      <c r="H2119" s="29" t="n">
        <f aca="false">F2119*G2119</f>
        <v>1763200</v>
      </c>
    </row>
    <row r="2120" customFormat="false" ht="15" hidden="false" customHeight="false" outlineLevel="0" collapsed="false">
      <c r="A2120" s="27" t="n">
        <v>2025</v>
      </c>
      <c r="B2120" s="27" t="n">
        <v>10</v>
      </c>
      <c r="C2120" s="27" t="s">
        <v>38</v>
      </c>
      <c r="D2120" s="27" t="s">
        <v>28</v>
      </c>
      <c r="E2120" s="27" t="s">
        <v>56</v>
      </c>
      <c r="F2120" s="28" t="n">
        <v>687</v>
      </c>
      <c r="G2120" s="29" t="n">
        <v>2890</v>
      </c>
      <c r="H2120" s="29" t="n">
        <f aca="false">F2120*G2120</f>
        <v>1985430</v>
      </c>
    </row>
    <row r="2121" customFormat="false" ht="15" hidden="false" customHeight="false" outlineLevel="0" collapsed="false">
      <c r="A2121" s="27" t="n">
        <v>2025</v>
      </c>
      <c r="B2121" s="27" t="n">
        <v>10</v>
      </c>
      <c r="C2121" s="27" t="s">
        <v>38</v>
      </c>
      <c r="D2121" s="27" t="s">
        <v>28</v>
      </c>
      <c r="E2121" s="27" t="s">
        <v>58</v>
      </c>
      <c r="F2121" s="28" t="n">
        <v>464</v>
      </c>
      <c r="G2121" s="29" t="n">
        <v>2900</v>
      </c>
      <c r="H2121" s="29" t="n">
        <f aca="false">F2121*G2121</f>
        <v>1345600</v>
      </c>
    </row>
    <row r="2122" customFormat="false" ht="15" hidden="false" customHeight="false" outlineLevel="0" collapsed="false">
      <c r="A2122" s="27" t="n">
        <v>2025</v>
      </c>
      <c r="B2122" s="27" t="n">
        <v>10</v>
      </c>
      <c r="C2122" s="27" t="s">
        <v>40</v>
      </c>
      <c r="D2122" s="27" t="s">
        <v>22</v>
      </c>
      <c r="E2122" s="27" t="s">
        <v>50</v>
      </c>
      <c r="F2122" s="28" t="n">
        <v>4210</v>
      </c>
      <c r="G2122" s="29" t="n">
        <v>2410</v>
      </c>
      <c r="H2122" s="29" t="n">
        <f aca="false">F2122*G2122</f>
        <v>10146100</v>
      </c>
    </row>
    <row r="2123" customFormat="false" ht="15" hidden="false" customHeight="false" outlineLevel="0" collapsed="false">
      <c r="A2123" s="27" t="n">
        <v>2025</v>
      </c>
      <c r="B2123" s="27" t="n">
        <v>10</v>
      </c>
      <c r="C2123" s="27" t="s">
        <v>40</v>
      </c>
      <c r="D2123" s="27" t="s">
        <v>22</v>
      </c>
      <c r="E2123" s="27" t="s">
        <v>52</v>
      </c>
      <c r="F2123" s="28" t="n">
        <v>2489</v>
      </c>
      <c r="G2123" s="29" t="n">
        <v>2410</v>
      </c>
      <c r="H2123" s="29" t="n">
        <f aca="false">F2123*G2123</f>
        <v>5998490</v>
      </c>
    </row>
    <row r="2124" customFormat="false" ht="15" hidden="false" customHeight="false" outlineLevel="0" collapsed="false">
      <c r="A2124" s="27" t="n">
        <v>2025</v>
      </c>
      <c r="B2124" s="27" t="n">
        <v>10</v>
      </c>
      <c r="C2124" s="27" t="s">
        <v>40</v>
      </c>
      <c r="D2124" s="27" t="s">
        <v>22</v>
      </c>
      <c r="E2124" s="27" t="s">
        <v>54</v>
      </c>
      <c r="F2124" s="28" t="n">
        <v>2125</v>
      </c>
      <c r="G2124" s="29" t="n">
        <v>2430</v>
      </c>
      <c r="H2124" s="29" t="n">
        <f aca="false">F2124*G2124</f>
        <v>5163750</v>
      </c>
    </row>
    <row r="2125" customFormat="false" ht="15" hidden="false" customHeight="false" outlineLevel="0" collapsed="false">
      <c r="A2125" s="27" t="n">
        <v>2025</v>
      </c>
      <c r="B2125" s="27" t="n">
        <v>10</v>
      </c>
      <c r="C2125" s="27" t="s">
        <v>40</v>
      </c>
      <c r="D2125" s="27" t="s">
        <v>22</v>
      </c>
      <c r="E2125" s="27" t="s">
        <v>56</v>
      </c>
      <c r="F2125" s="28" t="n">
        <v>2522</v>
      </c>
      <c r="G2125" s="29" t="n">
        <v>2440</v>
      </c>
      <c r="H2125" s="29" t="n">
        <f aca="false">F2125*G2125</f>
        <v>6153680</v>
      </c>
    </row>
    <row r="2126" customFormat="false" ht="15" hidden="false" customHeight="false" outlineLevel="0" collapsed="false">
      <c r="A2126" s="27" t="n">
        <v>2025</v>
      </c>
      <c r="B2126" s="27" t="n">
        <v>10</v>
      </c>
      <c r="C2126" s="27" t="s">
        <v>40</v>
      </c>
      <c r="D2126" s="27" t="s">
        <v>22</v>
      </c>
      <c r="E2126" s="27" t="s">
        <v>58</v>
      </c>
      <c r="F2126" s="28" t="n">
        <v>1654</v>
      </c>
      <c r="G2126" s="29" t="n">
        <v>2460</v>
      </c>
      <c r="H2126" s="29" t="n">
        <f aca="false">F2126*G2126</f>
        <v>4068840</v>
      </c>
    </row>
    <row r="2127" customFormat="false" ht="15" hidden="false" customHeight="false" outlineLevel="0" collapsed="false">
      <c r="A2127" s="27" t="n">
        <v>2025</v>
      </c>
      <c r="B2127" s="27" t="n">
        <v>10</v>
      </c>
      <c r="C2127" s="27" t="s">
        <v>40</v>
      </c>
      <c r="D2127" s="27" t="s">
        <v>24</v>
      </c>
      <c r="E2127" s="27" t="s">
        <v>50</v>
      </c>
      <c r="F2127" s="28" t="n">
        <v>2401</v>
      </c>
      <c r="G2127" s="29" t="n">
        <v>2250</v>
      </c>
      <c r="H2127" s="29" t="n">
        <f aca="false">F2127*G2127</f>
        <v>5402250</v>
      </c>
    </row>
    <row r="2128" customFormat="false" ht="15" hidden="false" customHeight="false" outlineLevel="0" collapsed="false">
      <c r="A2128" s="27" t="n">
        <v>2025</v>
      </c>
      <c r="B2128" s="27" t="n">
        <v>10</v>
      </c>
      <c r="C2128" s="27" t="s">
        <v>40</v>
      </c>
      <c r="D2128" s="27" t="s">
        <v>24</v>
      </c>
      <c r="E2128" s="27" t="s">
        <v>52</v>
      </c>
      <c r="F2128" s="28" t="n">
        <v>1558</v>
      </c>
      <c r="G2128" s="29" t="n">
        <v>2220</v>
      </c>
      <c r="H2128" s="29" t="n">
        <f aca="false">F2128*G2128</f>
        <v>3458760</v>
      </c>
    </row>
    <row r="2129" customFormat="false" ht="15" hidden="false" customHeight="false" outlineLevel="0" collapsed="false">
      <c r="A2129" s="27" t="n">
        <v>2025</v>
      </c>
      <c r="B2129" s="27" t="n">
        <v>10</v>
      </c>
      <c r="C2129" s="27" t="s">
        <v>40</v>
      </c>
      <c r="D2129" s="27" t="s">
        <v>24</v>
      </c>
      <c r="E2129" s="27" t="s">
        <v>54</v>
      </c>
      <c r="F2129" s="28" t="n">
        <v>1169</v>
      </c>
      <c r="G2129" s="29" t="n">
        <v>2280</v>
      </c>
      <c r="H2129" s="29" t="n">
        <f aca="false">F2129*G2129</f>
        <v>2665320</v>
      </c>
    </row>
    <row r="2130" customFormat="false" ht="15" hidden="false" customHeight="false" outlineLevel="0" collapsed="false">
      <c r="A2130" s="27" t="n">
        <v>2025</v>
      </c>
      <c r="B2130" s="27" t="n">
        <v>10</v>
      </c>
      <c r="C2130" s="27" t="s">
        <v>40</v>
      </c>
      <c r="D2130" s="27" t="s">
        <v>24</v>
      </c>
      <c r="E2130" s="27" t="s">
        <v>56</v>
      </c>
      <c r="F2130" s="28" t="n">
        <v>1319</v>
      </c>
      <c r="G2130" s="29" t="n">
        <v>2280</v>
      </c>
      <c r="H2130" s="29" t="n">
        <f aca="false">F2130*G2130</f>
        <v>3007320</v>
      </c>
    </row>
    <row r="2131" customFormat="false" ht="15" hidden="false" customHeight="false" outlineLevel="0" collapsed="false">
      <c r="A2131" s="27" t="n">
        <v>2025</v>
      </c>
      <c r="B2131" s="27" t="n">
        <v>10</v>
      </c>
      <c r="C2131" s="27" t="s">
        <v>40</v>
      </c>
      <c r="D2131" s="27" t="s">
        <v>24</v>
      </c>
      <c r="E2131" s="27" t="s">
        <v>58</v>
      </c>
      <c r="F2131" s="28" t="n">
        <v>1063</v>
      </c>
      <c r="G2131" s="29" t="n">
        <v>2250</v>
      </c>
      <c r="H2131" s="29" t="n">
        <f aca="false">F2131*G2131</f>
        <v>2391750</v>
      </c>
    </row>
    <row r="2132" customFormat="false" ht="15" hidden="false" customHeight="false" outlineLevel="0" collapsed="false">
      <c r="A2132" s="27" t="n">
        <v>2025</v>
      </c>
      <c r="B2132" s="27" t="n">
        <v>10</v>
      </c>
      <c r="C2132" s="27" t="s">
        <v>40</v>
      </c>
      <c r="D2132" s="27" t="s">
        <v>26</v>
      </c>
      <c r="E2132" s="27" t="s">
        <v>50</v>
      </c>
      <c r="F2132" s="28" t="n">
        <v>1257</v>
      </c>
      <c r="G2132" s="29" t="n">
        <v>2750</v>
      </c>
      <c r="H2132" s="29" t="n">
        <f aca="false">F2132*G2132</f>
        <v>3456750</v>
      </c>
    </row>
    <row r="2133" customFormat="false" ht="15" hidden="false" customHeight="false" outlineLevel="0" collapsed="false">
      <c r="A2133" s="27" t="n">
        <v>2025</v>
      </c>
      <c r="B2133" s="27" t="n">
        <v>10</v>
      </c>
      <c r="C2133" s="27" t="s">
        <v>40</v>
      </c>
      <c r="D2133" s="27" t="s">
        <v>26</v>
      </c>
      <c r="E2133" s="27" t="s">
        <v>52</v>
      </c>
      <c r="F2133" s="28" t="n">
        <v>756</v>
      </c>
      <c r="G2133" s="29" t="n">
        <v>2740</v>
      </c>
      <c r="H2133" s="29" t="n">
        <f aca="false">F2133*G2133</f>
        <v>2071440</v>
      </c>
    </row>
    <row r="2134" customFormat="false" ht="15" hidden="false" customHeight="false" outlineLevel="0" collapsed="false">
      <c r="A2134" s="27" t="n">
        <v>2025</v>
      </c>
      <c r="B2134" s="27" t="n">
        <v>10</v>
      </c>
      <c r="C2134" s="27" t="s">
        <v>40</v>
      </c>
      <c r="D2134" s="27" t="s">
        <v>26</v>
      </c>
      <c r="E2134" s="27" t="s">
        <v>54</v>
      </c>
      <c r="F2134" s="28" t="n">
        <v>599</v>
      </c>
      <c r="G2134" s="29" t="n">
        <v>2700</v>
      </c>
      <c r="H2134" s="29" t="n">
        <f aca="false">F2134*G2134</f>
        <v>1617300</v>
      </c>
    </row>
    <row r="2135" customFormat="false" ht="15" hidden="false" customHeight="false" outlineLevel="0" collapsed="false">
      <c r="A2135" s="27" t="n">
        <v>2025</v>
      </c>
      <c r="B2135" s="27" t="n">
        <v>10</v>
      </c>
      <c r="C2135" s="27" t="s">
        <v>40</v>
      </c>
      <c r="D2135" s="27" t="s">
        <v>26</v>
      </c>
      <c r="E2135" s="27" t="s">
        <v>56</v>
      </c>
      <c r="F2135" s="28" t="n">
        <v>706</v>
      </c>
      <c r="G2135" s="29" t="n">
        <v>2730</v>
      </c>
      <c r="H2135" s="29" t="n">
        <f aca="false">F2135*G2135</f>
        <v>1927380</v>
      </c>
    </row>
    <row r="2136" customFormat="false" ht="15" hidden="false" customHeight="false" outlineLevel="0" collapsed="false">
      <c r="A2136" s="27" t="n">
        <v>2025</v>
      </c>
      <c r="B2136" s="27" t="n">
        <v>10</v>
      </c>
      <c r="C2136" s="27" t="s">
        <v>40</v>
      </c>
      <c r="D2136" s="27" t="s">
        <v>26</v>
      </c>
      <c r="E2136" s="27" t="s">
        <v>58</v>
      </c>
      <c r="F2136" s="28" t="n">
        <v>533</v>
      </c>
      <c r="G2136" s="29" t="n">
        <v>2710</v>
      </c>
      <c r="H2136" s="29" t="n">
        <f aca="false">F2136*G2136</f>
        <v>1444430</v>
      </c>
    </row>
    <row r="2137" customFormat="false" ht="15" hidden="false" customHeight="false" outlineLevel="0" collapsed="false">
      <c r="A2137" s="27" t="n">
        <v>2025</v>
      </c>
      <c r="B2137" s="27" t="n">
        <v>10</v>
      </c>
      <c r="C2137" s="27" t="s">
        <v>40</v>
      </c>
      <c r="D2137" s="27" t="s">
        <v>28</v>
      </c>
      <c r="E2137" s="27" t="s">
        <v>50</v>
      </c>
      <c r="F2137" s="28" t="n">
        <v>548</v>
      </c>
      <c r="G2137" s="29" t="n">
        <v>2520</v>
      </c>
      <c r="H2137" s="29" t="n">
        <f aca="false">F2137*G2137</f>
        <v>1380960</v>
      </c>
    </row>
    <row r="2138" customFormat="false" ht="15" hidden="false" customHeight="false" outlineLevel="0" collapsed="false">
      <c r="A2138" s="27" t="n">
        <v>2025</v>
      </c>
      <c r="B2138" s="27" t="n">
        <v>10</v>
      </c>
      <c r="C2138" s="27" t="s">
        <v>40</v>
      </c>
      <c r="D2138" s="27" t="s">
        <v>28</v>
      </c>
      <c r="E2138" s="27" t="s">
        <v>52</v>
      </c>
      <c r="F2138" s="28" t="n">
        <v>373</v>
      </c>
      <c r="G2138" s="29" t="n">
        <v>2590</v>
      </c>
      <c r="H2138" s="29" t="n">
        <f aca="false">F2138*G2138</f>
        <v>966070</v>
      </c>
    </row>
    <row r="2139" customFormat="false" ht="15" hidden="false" customHeight="false" outlineLevel="0" collapsed="false">
      <c r="A2139" s="27" t="n">
        <v>2025</v>
      </c>
      <c r="B2139" s="27" t="n">
        <v>10</v>
      </c>
      <c r="C2139" s="27" t="s">
        <v>40</v>
      </c>
      <c r="D2139" s="27" t="s">
        <v>28</v>
      </c>
      <c r="E2139" s="27" t="s">
        <v>54</v>
      </c>
      <c r="F2139" s="28" t="n">
        <v>298</v>
      </c>
      <c r="G2139" s="29" t="n">
        <v>2540</v>
      </c>
      <c r="H2139" s="29" t="n">
        <f aca="false">F2139*G2139</f>
        <v>756920</v>
      </c>
    </row>
    <row r="2140" customFormat="false" ht="15" hidden="false" customHeight="false" outlineLevel="0" collapsed="false">
      <c r="A2140" s="27" t="n">
        <v>2025</v>
      </c>
      <c r="B2140" s="27" t="n">
        <v>10</v>
      </c>
      <c r="C2140" s="27" t="s">
        <v>40</v>
      </c>
      <c r="D2140" s="27" t="s">
        <v>28</v>
      </c>
      <c r="E2140" s="27" t="s">
        <v>56</v>
      </c>
      <c r="F2140" s="28" t="n">
        <v>361</v>
      </c>
      <c r="G2140" s="29" t="n">
        <v>2540</v>
      </c>
      <c r="H2140" s="29" t="n">
        <f aca="false">F2140*G2140</f>
        <v>916940</v>
      </c>
    </row>
    <row r="2141" customFormat="false" ht="15" hidden="false" customHeight="false" outlineLevel="0" collapsed="false">
      <c r="A2141" s="27" t="n">
        <v>2025</v>
      </c>
      <c r="B2141" s="27" t="n">
        <v>10</v>
      </c>
      <c r="C2141" s="27" t="s">
        <v>40</v>
      </c>
      <c r="D2141" s="27" t="s">
        <v>28</v>
      </c>
      <c r="E2141" s="27" t="s">
        <v>58</v>
      </c>
      <c r="F2141" s="28" t="n">
        <v>233</v>
      </c>
      <c r="G2141" s="29" t="n">
        <v>2520</v>
      </c>
      <c r="H2141" s="29" t="n">
        <f aca="false">F2141*G2141</f>
        <v>587160</v>
      </c>
    </row>
    <row r="2142" customFormat="false" ht="15" hidden="false" customHeight="false" outlineLevel="0" collapsed="false">
      <c r="A2142" s="27" t="n">
        <v>2025</v>
      </c>
      <c r="B2142" s="27" t="n">
        <v>10</v>
      </c>
      <c r="C2142" s="27" t="s">
        <v>42</v>
      </c>
      <c r="D2142" s="27" t="s">
        <v>22</v>
      </c>
      <c r="E2142" s="27" t="s">
        <v>50</v>
      </c>
      <c r="F2142" s="28" t="n">
        <v>4989</v>
      </c>
      <c r="G2142" s="29" t="n">
        <v>2160</v>
      </c>
      <c r="H2142" s="29" t="n">
        <f aca="false">F2142*G2142</f>
        <v>10776240</v>
      </c>
    </row>
    <row r="2143" customFormat="false" ht="15" hidden="false" customHeight="false" outlineLevel="0" collapsed="false">
      <c r="A2143" s="27" t="n">
        <v>2025</v>
      </c>
      <c r="B2143" s="27" t="n">
        <v>10</v>
      </c>
      <c r="C2143" s="27" t="s">
        <v>42</v>
      </c>
      <c r="D2143" s="27" t="s">
        <v>22</v>
      </c>
      <c r="E2143" s="27" t="s">
        <v>52</v>
      </c>
      <c r="F2143" s="28" t="n">
        <v>3029</v>
      </c>
      <c r="G2143" s="29" t="n">
        <v>2210</v>
      </c>
      <c r="H2143" s="29" t="n">
        <f aca="false">F2143*G2143</f>
        <v>6694090</v>
      </c>
    </row>
    <row r="2144" customFormat="false" ht="15" hidden="false" customHeight="false" outlineLevel="0" collapsed="false">
      <c r="A2144" s="27" t="n">
        <v>2025</v>
      </c>
      <c r="B2144" s="27" t="n">
        <v>10</v>
      </c>
      <c r="C2144" s="27" t="s">
        <v>42</v>
      </c>
      <c r="D2144" s="27" t="s">
        <v>22</v>
      </c>
      <c r="E2144" s="27" t="s">
        <v>54</v>
      </c>
      <c r="F2144" s="28" t="n">
        <v>2283</v>
      </c>
      <c r="G2144" s="29" t="n">
        <v>2250</v>
      </c>
      <c r="H2144" s="29" t="n">
        <f aca="false">F2144*G2144</f>
        <v>5136750</v>
      </c>
    </row>
    <row r="2145" customFormat="false" ht="15" hidden="false" customHeight="false" outlineLevel="0" collapsed="false">
      <c r="A2145" s="27" t="n">
        <v>2025</v>
      </c>
      <c r="B2145" s="27" t="n">
        <v>10</v>
      </c>
      <c r="C2145" s="27" t="s">
        <v>42</v>
      </c>
      <c r="D2145" s="27" t="s">
        <v>22</v>
      </c>
      <c r="E2145" s="27" t="s">
        <v>56</v>
      </c>
      <c r="F2145" s="28" t="n">
        <v>2668</v>
      </c>
      <c r="G2145" s="29" t="n">
        <v>2200</v>
      </c>
      <c r="H2145" s="29" t="n">
        <f aca="false">F2145*G2145</f>
        <v>5869600</v>
      </c>
    </row>
    <row r="2146" customFormat="false" ht="15" hidden="false" customHeight="false" outlineLevel="0" collapsed="false">
      <c r="A2146" s="27" t="n">
        <v>2025</v>
      </c>
      <c r="B2146" s="27" t="n">
        <v>10</v>
      </c>
      <c r="C2146" s="27" t="s">
        <v>42</v>
      </c>
      <c r="D2146" s="27" t="s">
        <v>22</v>
      </c>
      <c r="E2146" s="27" t="s">
        <v>58</v>
      </c>
      <c r="F2146" s="28" t="n">
        <v>1881</v>
      </c>
      <c r="G2146" s="29" t="n">
        <v>2220</v>
      </c>
      <c r="H2146" s="29" t="n">
        <f aca="false">F2146*G2146</f>
        <v>4175820</v>
      </c>
    </row>
    <row r="2147" customFormat="false" ht="15" hidden="false" customHeight="false" outlineLevel="0" collapsed="false">
      <c r="A2147" s="27" t="n">
        <v>2025</v>
      </c>
      <c r="B2147" s="27" t="n">
        <v>10</v>
      </c>
      <c r="C2147" s="27" t="s">
        <v>42</v>
      </c>
      <c r="D2147" s="27" t="s">
        <v>24</v>
      </c>
      <c r="E2147" s="27" t="s">
        <v>50</v>
      </c>
      <c r="F2147" s="28" t="n">
        <v>2639</v>
      </c>
      <c r="G2147" s="29" t="n">
        <v>2030</v>
      </c>
      <c r="H2147" s="29" t="n">
        <f aca="false">F2147*G2147</f>
        <v>5357170</v>
      </c>
    </row>
    <row r="2148" customFormat="false" ht="15" hidden="false" customHeight="false" outlineLevel="0" collapsed="false">
      <c r="A2148" s="27" t="n">
        <v>2025</v>
      </c>
      <c r="B2148" s="27" t="n">
        <v>10</v>
      </c>
      <c r="C2148" s="27" t="s">
        <v>42</v>
      </c>
      <c r="D2148" s="27" t="s">
        <v>24</v>
      </c>
      <c r="E2148" s="27" t="s">
        <v>52</v>
      </c>
      <c r="F2148" s="28" t="n">
        <v>1613</v>
      </c>
      <c r="G2148" s="29" t="n">
        <v>2090</v>
      </c>
      <c r="H2148" s="29" t="n">
        <f aca="false">F2148*G2148</f>
        <v>3371170</v>
      </c>
    </row>
    <row r="2149" customFormat="false" ht="15" hidden="false" customHeight="false" outlineLevel="0" collapsed="false">
      <c r="A2149" s="27" t="n">
        <v>2025</v>
      </c>
      <c r="B2149" s="27" t="n">
        <v>10</v>
      </c>
      <c r="C2149" s="27" t="s">
        <v>42</v>
      </c>
      <c r="D2149" s="27" t="s">
        <v>24</v>
      </c>
      <c r="E2149" s="27" t="s">
        <v>54</v>
      </c>
      <c r="F2149" s="28" t="n">
        <v>1354</v>
      </c>
      <c r="G2149" s="29" t="n">
        <v>2070</v>
      </c>
      <c r="H2149" s="29" t="n">
        <f aca="false">F2149*G2149</f>
        <v>2802780</v>
      </c>
    </row>
    <row r="2150" customFormat="false" ht="15" hidden="false" customHeight="false" outlineLevel="0" collapsed="false">
      <c r="A2150" s="27" t="n">
        <v>2025</v>
      </c>
      <c r="B2150" s="27" t="n">
        <v>10</v>
      </c>
      <c r="C2150" s="27" t="s">
        <v>42</v>
      </c>
      <c r="D2150" s="27" t="s">
        <v>24</v>
      </c>
      <c r="E2150" s="27" t="s">
        <v>56</v>
      </c>
      <c r="F2150" s="28" t="n">
        <v>1581</v>
      </c>
      <c r="G2150" s="29" t="n">
        <v>2050</v>
      </c>
      <c r="H2150" s="29" t="n">
        <f aca="false">F2150*G2150</f>
        <v>3241050</v>
      </c>
    </row>
    <row r="2151" customFormat="false" ht="15" hidden="false" customHeight="false" outlineLevel="0" collapsed="false">
      <c r="A2151" s="27" t="n">
        <v>2025</v>
      </c>
      <c r="B2151" s="27" t="n">
        <v>10</v>
      </c>
      <c r="C2151" s="27" t="s">
        <v>42</v>
      </c>
      <c r="D2151" s="27" t="s">
        <v>24</v>
      </c>
      <c r="E2151" s="27" t="s">
        <v>58</v>
      </c>
      <c r="F2151" s="28" t="n">
        <v>1188</v>
      </c>
      <c r="G2151" s="29" t="n">
        <v>2060</v>
      </c>
      <c r="H2151" s="29" t="n">
        <f aca="false">F2151*G2151</f>
        <v>2447280</v>
      </c>
    </row>
    <row r="2152" customFormat="false" ht="15" hidden="false" customHeight="false" outlineLevel="0" collapsed="false">
      <c r="A2152" s="27" t="n">
        <v>2025</v>
      </c>
      <c r="B2152" s="27" t="n">
        <v>10</v>
      </c>
      <c r="C2152" s="27" t="s">
        <v>42</v>
      </c>
      <c r="D2152" s="27" t="s">
        <v>26</v>
      </c>
      <c r="E2152" s="27" t="s">
        <v>50</v>
      </c>
      <c r="F2152" s="28" t="n">
        <v>1344</v>
      </c>
      <c r="G2152" s="29" t="n">
        <v>2510</v>
      </c>
      <c r="H2152" s="29" t="n">
        <f aca="false">F2152*G2152</f>
        <v>3373440</v>
      </c>
    </row>
    <row r="2153" customFormat="false" ht="15" hidden="false" customHeight="false" outlineLevel="0" collapsed="false">
      <c r="A2153" s="27" t="n">
        <v>2025</v>
      </c>
      <c r="B2153" s="27" t="n">
        <v>10</v>
      </c>
      <c r="C2153" s="27" t="s">
        <v>42</v>
      </c>
      <c r="D2153" s="27" t="s">
        <v>26</v>
      </c>
      <c r="E2153" s="27" t="s">
        <v>52</v>
      </c>
      <c r="F2153" s="28" t="n">
        <v>828</v>
      </c>
      <c r="G2153" s="29" t="n">
        <v>2470</v>
      </c>
      <c r="H2153" s="29" t="n">
        <f aca="false">F2153*G2153</f>
        <v>2045160</v>
      </c>
    </row>
    <row r="2154" customFormat="false" ht="15" hidden="false" customHeight="false" outlineLevel="0" collapsed="false">
      <c r="A2154" s="27" t="n">
        <v>2025</v>
      </c>
      <c r="B2154" s="27" t="n">
        <v>10</v>
      </c>
      <c r="C2154" s="27" t="s">
        <v>42</v>
      </c>
      <c r="D2154" s="27" t="s">
        <v>26</v>
      </c>
      <c r="E2154" s="27" t="s">
        <v>54</v>
      </c>
      <c r="F2154" s="28" t="n">
        <v>687</v>
      </c>
      <c r="G2154" s="29" t="n">
        <v>2480</v>
      </c>
      <c r="H2154" s="29" t="n">
        <f aca="false">F2154*G2154</f>
        <v>1703760</v>
      </c>
    </row>
    <row r="2155" customFormat="false" ht="15" hidden="false" customHeight="false" outlineLevel="0" collapsed="false">
      <c r="A2155" s="27" t="n">
        <v>2025</v>
      </c>
      <c r="B2155" s="27" t="n">
        <v>10</v>
      </c>
      <c r="C2155" s="27" t="s">
        <v>42</v>
      </c>
      <c r="D2155" s="27" t="s">
        <v>26</v>
      </c>
      <c r="E2155" s="27" t="s">
        <v>56</v>
      </c>
      <c r="F2155" s="28" t="n">
        <v>827</v>
      </c>
      <c r="G2155" s="29" t="n">
        <v>2530</v>
      </c>
      <c r="H2155" s="29" t="n">
        <f aca="false">F2155*G2155</f>
        <v>2092310</v>
      </c>
    </row>
    <row r="2156" customFormat="false" ht="15" hidden="false" customHeight="false" outlineLevel="0" collapsed="false">
      <c r="A2156" s="27" t="n">
        <v>2025</v>
      </c>
      <c r="B2156" s="27" t="n">
        <v>10</v>
      </c>
      <c r="C2156" s="27" t="s">
        <v>42</v>
      </c>
      <c r="D2156" s="27" t="s">
        <v>26</v>
      </c>
      <c r="E2156" s="27" t="s">
        <v>58</v>
      </c>
      <c r="F2156" s="28" t="n">
        <v>568</v>
      </c>
      <c r="G2156" s="29" t="n">
        <v>2420</v>
      </c>
      <c r="H2156" s="29" t="n">
        <f aca="false">F2156*G2156</f>
        <v>1374560</v>
      </c>
    </row>
    <row r="2157" customFormat="false" ht="15" hidden="false" customHeight="false" outlineLevel="0" collapsed="false">
      <c r="A2157" s="27" t="n">
        <v>2025</v>
      </c>
      <c r="B2157" s="27" t="n">
        <v>10</v>
      </c>
      <c r="C2157" s="27" t="s">
        <v>42</v>
      </c>
      <c r="D2157" s="27" t="s">
        <v>28</v>
      </c>
      <c r="E2157" s="27" t="s">
        <v>50</v>
      </c>
      <c r="F2157" s="28" t="n">
        <v>659</v>
      </c>
      <c r="G2157" s="29" t="n">
        <v>2330</v>
      </c>
      <c r="H2157" s="29" t="n">
        <f aca="false">F2157*G2157</f>
        <v>1535470</v>
      </c>
    </row>
    <row r="2158" customFormat="false" ht="15" hidden="false" customHeight="false" outlineLevel="0" collapsed="false">
      <c r="A2158" s="27" t="n">
        <v>2025</v>
      </c>
      <c r="B2158" s="27" t="n">
        <v>10</v>
      </c>
      <c r="C2158" s="27" t="s">
        <v>42</v>
      </c>
      <c r="D2158" s="27" t="s">
        <v>28</v>
      </c>
      <c r="E2158" s="27" t="s">
        <v>52</v>
      </c>
      <c r="F2158" s="28" t="n">
        <v>406</v>
      </c>
      <c r="G2158" s="29" t="n">
        <v>2330</v>
      </c>
      <c r="H2158" s="29" t="n">
        <f aca="false">F2158*G2158</f>
        <v>945980</v>
      </c>
    </row>
    <row r="2159" customFormat="false" ht="15" hidden="false" customHeight="false" outlineLevel="0" collapsed="false">
      <c r="A2159" s="27" t="n">
        <v>2025</v>
      </c>
      <c r="B2159" s="27" t="n">
        <v>10</v>
      </c>
      <c r="C2159" s="27" t="s">
        <v>42</v>
      </c>
      <c r="D2159" s="27" t="s">
        <v>28</v>
      </c>
      <c r="E2159" s="27" t="s">
        <v>54</v>
      </c>
      <c r="F2159" s="28" t="n">
        <v>324</v>
      </c>
      <c r="G2159" s="29" t="n">
        <v>2330</v>
      </c>
      <c r="H2159" s="29" t="n">
        <f aca="false">F2159*G2159</f>
        <v>754920</v>
      </c>
    </row>
    <row r="2160" customFormat="false" ht="15" hidden="false" customHeight="false" outlineLevel="0" collapsed="false">
      <c r="A2160" s="27" t="n">
        <v>2025</v>
      </c>
      <c r="B2160" s="27" t="n">
        <v>10</v>
      </c>
      <c r="C2160" s="27" t="s">
        <v>42</v>
      </c>
      <c r="D2160" s="27" t="s">
        <v>28</v>
      </c>
      <c r="E2160" s="27" t="s">
        <v>56</v>
      </c>
      <c r="F2160" s="28" t="n">
        <v>397</v>
      </c>
      <c r="G2160" s="29" t="n">
        <v>2310</v>
      </c>
      <c r="H2160" s="29" t="n">
        <f aca="false">F2160*G2160</f>
        <v>917070</v>
      </c>
    </row>
    <row r="2161" customFormat="false" ht="15" hidden="false" customHeight="false" outlineLevel="0" collapsed="false">
      <c r="A2161" s="27" t="n">
        <v>2025</v>
      </c>
      <c r="B2161" s="27" t="n">
        <v>10</v>
      </c>
      <c r="C2161" s="27" t="s">
        <v>42</v>
      </c>
      <c r="D2161" s="27" t="s">
        <v>28</v>
      </c>
      <c r="E2161" s="27" t="s">
        <v>58</v>
      </c>
      <c r="F2161" s="28" t="n">
        <v>251</v>
      </c>
      <c r="G2161" s="29" t="n">
        <v>2400</v>
      </c>
      <c r="H2161" s="29" t="n">
        <f aca="false">F2161*G2161</f>
        <v>602400</v>
      </c>
    </row>
    <row r="2162" customFormat="false" ht="15" hidden="false" customHeight="false" outlineLevel="0" collapsed="false">
      <c r="A2162" s="27" t="n">
        <v>2025</v>
      </c>
      <c r="B2162" s="27" t="n">
        <v>10</v>
      </c>
      <c r="C2162" s="27" t="s">
        <v>44</v>
      </c>
      <c r="D2162" s="27" t="s">
        <v>22</v>
      </c>
      <c r="E2162" s="27" t="s">
        <v>50</v>
      </c>
      <c r="F2162" s="28" t="n">
        <v>3035</v>
      </c>
      <c r="G2162" s="29" t="n">
        <v>4120</v>
      </c>
      <c r="H2162" s="29" t="n">
        <f aca="false">F2162*G2162</f>
        <v>12504200</v>
      </c>
    </row>
    <row r="2163" customFormat="false" ht="15" hidden="false" customHeight="false" outlineLevel="0" collapsed="false">
      <c r="A2163" s="27" t="n">
        <v>2025</v>
      </c>
      <c r="B2163" s="27" t="n">
        <v>10</v>
      </c>
      <c r="C2163" s="27" t="s">
        <v>44</v>
      </c>
      <c r="D2163" s="27" t="s">
        <v>22</v>
      </c>
      <c r="E2163" s="27" t="s">
        <v>52</v>
      </c>
      <c r="F2163" s="28" t="n">
        <v>1820</v>
      </c>
      <c r="G2163" s="29" t="n">
        <v>4120</v>
      </c>
      <c r="H2163" s="29" t="n">
        <f aca="false">F2163*G2163</f>
        <v>7498400</v>
      </c>
    </row>
    <row r="2164" customFormat="false" ht="15" hidden="false" customHeight="false" outlineLevel="0" collapsed="false">
      <c r="A2164" s="27" t="n">
        <v>2025</v>
      </c>
      <c r="B2164" s="27" t="n">
        <v>10</v>
      </c>
      <c r="C2164" s="27" t="s">
        <v>44</v>
      </c>
      <c r="D2164" s="27" t="s">
        <v>22</v>
      </c>
      <c r="E2164" s="27" t="s">
        <v>54</v>
      </c>
      <c r="F2164" s="28" t="n">
        <v>1500</v>
      </c>
      <c r="G2164" s="29" t="n">
        <v>4100</v>
      </c>
      <c r="H2164" s="29" t="n">
        <f aca="false">F2164*G2164</f>
        <v>6150000</v>
      </c>
    </row>
    <row r="2165" customFormat="false" ht="15" hidden="false" customHeight="false" outlineLevel="0" collapsed="false">
      <c r="A2165" s="27" t="n">
        <v>2025</v>
      </c>
      <c r="B2165" s="27" t="n">
        <v>10</v>
      </c>
      <c r="C2165" s="27" t="s">
        <v>44</v>
      </c>
      <c r="D2165" s="27" t="s">
        <v>22</v>
      </c>
      <c r="E2165" s="27" t="s">
        <v>56</v>
      </c>
      <c r="F2165" s="28" t="n">
        <v>1966</v>
      </c>
      <c r="G2165" s="29" t="n">
        <v>4130</v>
      </c>
      <c r="H2165" s="29" t="n">
        <f aca="false">F2165*G2165</f>
        <v>8119580</v>
      </c>
    </row>
    <row r="2166" customFormat="false" ht="15" hidden="false" customHeight="false" outlineLevel="0" collapsed="false">
      <c r="A2166" s="27" t="n">
        <v>2025</v>
      </c>
      <c r="B2166" s="27" t="n">
        <v>10</v>
      </c>
      <c r="C2166" s="27" t="s">
        <v>44</v>
      </c>
      <c r="D2166" s="27" t="s">
        <v>22</v>
      </c>
      <c r="E2166" s="27" t="s">
        <v>58</v>
      </c>
      <c r="F2166" s="28" t="n">
        <v>1315</v>
      </c>
      <c r="G2166" s="29" t="n">
        <v>4040</v>
      </c>
      <c r="H2166" s="29" t="n">
        <f aca="false">F2166*G2166</f>
        <v>5312600</v>
      </c>
    </row>
    <row r="2167" customFormat="false" ht="15" hidden="false" customHeight="false" outlineLevel="0" collapsed="false">
      <c r="A2167" s="27" t="n">
        <v>2025</v>
      </c>
      <c r="B2167" s="27" t="n">
        <v>10</v>
      </c>
      <c r="C2167" s="27" t="s">
        <v>44</v>
      </c>
      <c r="D2167" s="27" t="s">
        <v>24</v>
      </c>
      <c r="E2167" s="27" t="s">
        <v>50</v>
      </c>
      <c r="F2167" s="28" t="n">
        <v>1990</v>
      </c>
      <c r="G2167" s="29" t="n">
        <v>3780</v>
      </c>
      <c r="H2167" s="29" t="n">
        <f aca="false">F2167*G2167</f>
        <v>7522200</v>
      </c>
    </row>
    <row r="2168" customFormat="false" ht="15" hidden="false" customHeight="false" outlineLevel="0" collapsed="false">
      <c r="A2168" s="27" t="n">
        <v>2025</v>
      </c>
      <c r="B2168" s="27" t="n">
        <v>10</v>
      </c>
      <c r="C2168" s="27" t="s">
        <v>44</v>
      </c>
      <c r="D2168" s="27" t="s">
        <v>24</v>
      </c>
      <c r="E2168" s="27" t="s">
        <v>52</v>
      </c>
      <c r="F2168" s="28" t="n">
        <v>1226</v>
      </c>
      <c r="G2168" s="29" t="n">
        <v>3870</v>
      </c>
      <c r="H2168" s="29" t="n">
        <f aca="false">F2168*G2168</f>
        <v>4744620</v>
      </c>
    </row>
    <row r="2169" customFormat="false" ht="15" hidden="false" customHeight="false" outlineLevel="0" collapsed="false">
      <c r="A2169" s="27" t="n">
        <v>2025</v>
      </c>
      <c r="B2169" s="27" t="n">
        <v>10</v>
      </c>
      <c r="C2169" s="27" t="s">
        <v>44</v>
      </c>
      <c r="D2169" s="27" t="s">
        <v>24</v>
      </c>
      <c r="E2169" s="27" t="s">
        <v>54</v>
      </c>
      <c r="F2169" s="28" t="n">
        <v>937</v>
      </c>
      <c r="G2169" s="29" t="n">
        <v>3790</v>
      </c>
      <c r="H2169" s="29" t="n">
        <f aca="false">F2169*G2169</f>
        <v>3551230</v>
      </c>
    </row>
    <row r="2170" customFormat="false" ht="15" hidden="false" customHeight="false" outlineLevel="0" collapsed="false">
      <c r="A2170" s="27" t="n">
        <v>2025</v>
      </c>
      <c r="B2170" s="27" t="n">
        <v>10</v>
      </c>
      <c r="C2170" s="27" t="s">
        <v>44</v>
      </c>
      <c r="D2170" s="27" t="s">
        <v>24</v>
      </c>
      <c r="E2170" s="27" t="s">
        <v>56</v>
      </c>
      <c r="F2170" s="28" t="n">
        <v>1090</v>
      </c>
      <c r="G2170" s="29" t="n">
        <v>3810</v>
      </c>
      <c r="H2170" s="29" t="n">
        <f aca="false">F2170*G2170</f>
        <v>4152900</v>
      </c>
    </row>
    <row r="2171" customFormat="false" ht="15" hidden="false" customHeight="false" outlineLevel="0" collapsed="false">
      <c r="A2171" s="27" t="n">
        <v>2025</v>
      </c>
      <c r="B2171" s="27" t="n">
        <v>10</v>
      </c>
      <c r="C2171" s="27" t="s">
        <v>44</v>
      </c>
      <c r="D2171" s="27" t="s">
        <v>24</v>
      </c>
      <c r="E2171" s="27" t="s">
        <v>58</v>
      </c>
      <c r="F2171" s="28" t="n">
        <v>741</v>
      </c>
      <c r="G2171" s="29" t="n">
        <v>3820</v>
      </c>
      <c r="H2171" s="29" t="n">
        <f aca="false">F2171*G2171</f>
        <v>2830620</v>
      </c>
    </row>
    <row r="2172" customFormat="false" ht="15" hidden="false" customHeight="false" outlineLevel="0" collapsed="false">
      <c r="A2172" s="27" t="n">
        <v>2025</v>
      </c>
      <c r="B2172" s="27" t="n">
        <v>10</v>
      </c>
      <c r="C2172" s="27" t="s">
        <v>44</v>
      </c>
      <c r="D2172" s="27" t="s">
        <v>26</v>
      </c>
      <c r="E2172" s="27" t="s">
        <v>50</v>
      </c>
      <c r="F2172" s="28" t="n">
        <v>833</v>
      </c>
      <c r="G2172" s="29" t="n">
        <v>4660</v>
      </c>
      <c r="H2172" s="29" t="n">
        <f aca="false">F2172*G2172</f>
        <v>3881780</v>
      </c>
    </row>
    <row r="2173" customFormat="false" ht="15" hidden="false" customHeight="false" outlineLevel="0" collapsed="false">
      <c r="A2173" s="27" t="n">
        <v>2025</v>
      </c>
      <c r="B2173" s="27" t="n">
        <v>10</v>
      </c>
      <c r="C2173" s="27" t="s">
        <v>44</v>
      </c>
      <c r="D2173" s="27" t="s">
        <v>26</v>
      </c>
      <c r="E2173" s="27" t="s">
        <v>52</v>
      </c>
      <c r="F2173" s="28" t="n">
        <v>578</v>
      </c>
      <c r="G2173" s="29" t="n">
        <v>4590</v>
      </c>
      <c r="H2173" s="29" t="n">
        <f aca="false">F2173*G2173</f>
        <v>2653020</v>
      </c>
    </row>
    <row r="2174" customFormat="false" ht="15" hidden="false" customHeight="false" outlineLevel="0" collapsed="false">
      <c r="A2174" s="27" t="n">
        <v>2025</v>
      </c>
      <c r="B2174" s="27" t="n">
        <v>10</v>
      </c>
      <c r="C2174" s="27" t="s">
        <v>44</v>
      </c>
      <c r="D2174" s="27" t="s">
        <v>26</v>
      </c>
      <c r="E2174" s="27" t="s">
        <v>54</v>
      </c>
      <c r="F2174" s="28" t="n">
        <v>451</v>
      </c>
      <c r="G2174" s="29" t="n">
        <v>4620</v>
      </c>
      <c r="H2174" s="29" t="n">
        <f aca="false">F2174*G2174</f>
        <v>2083620</v>
      </c>
    </row>
    <row r="2175" customFormat="false" ht="15" hidden="false" customHeight="false" outlineLevel="0" collapsed="false">
      <c r="A2175" s="27" t="n">
        <v>2025</v>
      </c>
      <c r="B2175" s="27" t="n">
        <v>10</v>
      </c>
      <c r="C2175" s="27" t="s">
        <v>44</v>
      </c>
      <c r="D2175" s="27" t="s">
        <v>26</v>
      </c>
      <c r="E2175" s="27" t="s">
        <v>56</v>
      </c>
      <c r="F2175" s="28" t="n">
        <v>526</v>
      </c>
      <c r="G2175" s="29" t="n">
        <v>4500</v>
      </c>
      <c r="H2175" s="29" t="n">
        <f aca="false">F2175*G2175</f>
        <v>2367000</v>
      </c>
    </row>
    <row r="2176" customFormat="false" ht="15" hidden="false" customHeight="false" outlineLevel="0" collapsed="false">
      <c r="A2176" s="27" t="n">
        <v>2025</v>
      </c>
      <c r="B2176" s="27" t="n">
        <v>10</v>
      </c>
      <c r="C2176" s="27" t="s">
        <v>44</v>
      </c>
      <c r="D2176" s="27" t="s">
        <v>26</v>
      </c>
      <c r="E2176" s="27" t="s">
        <v>58</v>
      </c>
      <c r="F2176" s="28" t="n">
        <v>385</v>
      </c>
      <c r="G2176" s="29" t="n">
        <v>4630</v>
      </c>
      <c r="H2176" s="29" t="n">
        <f aca="false">F2176*G2176</f>
        <v>1782550</v>
      </c>
    </row>
    <row r="2177" customFormat="false" ht="15" hidden="false" customHeight="false" outlineLevel="0" collapsed="false">
      <c r="A2177" s="27" t="n">
        <v>2025</v>
      </c>
      <c r="B2177" s="27" t="n">
        <v>10</v>
      </c>
      <c r="C2177" s="27" t="s">
        <v>44</v>
      </c>
      <c r="D2177" s="27" t="s">
        <v>28</v>
      </c>
      <c r="E2177" s="27" t="s">
        <v>50</v>
      </c>
      <c r="F2177" s="28" t="n">
        <v>434</v>
      </c>
      <c r="G2177" s="29" t="n">
        <v>4270</v>
      </c>
      <c r="H2177" s="29" t="n">
        <f aca="false">F2177*G2177</f>
        <v>1853180</v>
      </c>
    </row>
    <row r="2178" customFormat="false" ht="15" hidden="false" customHeight="false" outlineLevel="0" collapsed="false">
      <c r="A2178" s="27" t="n">
        <v>2025</v>
      </c>
      <c r="B2178" s="27" t="n">
        <v>10</v>
      </c>
      <c r="C2178" s="27" t="s">
        <v>44</v>
      </c>
      <c r="D2178" s="27" t="s">
        <v>28</v>
      </c>
      <c r="E2178" s="27" t="s">
        <v>52</v>
      </c>
      <c r="F2178" s="28" t="n">
        <v>275</v>
      </c>
      <c r="G2178" s="29" t="n">
        <v>4260</v>
      </c>
      <c r="H2178" s="29" t="n">
        <f aca="false">F2178*G2178</f>
        <v>1171500</v>
      </c>
    </row>
    <row r="2179" customFormat="false" ht="15" hidden="false" customHeight="false" outlineLevel="0" collapsed="false">
      <c r="A2179" s="27" t="n">
        <v>2025</v>
      </c>
      <c r="B2179" s="27" t="n">
        <v>10</v>
      </c>
      <c r="C2179" s="27" t="s">
        <v>44</v>
      </c>
      <c r="D2179" s="27" t="s">
        <v>28</v>
      </c>
      <c r="E2179" s="27" t="s">
        <v>54</v>
      </c>
      <c r="F2179" s="28" t="n">
        <v>208</v>
      </c>
      <c r="G2179" s="29" t="n">
        <v>4290</v>
      </c>
      <c r="H2179" s="29" t="n">
        <f aca="false">F2179*G2179</f>
        <v>892320</v>
      </c>
    </row>
    <row r="2180" customFormat="false" ht="15" hidden="false" customHeight="false" outlineLevel="0" collapsed="false">
      <c r="A2180" s="27" t="n">
        <v>2025</v>
      </c>
      <c r="B2180" s="27" t="n">
        <v>10</v>
      </c>
      <c r="C2180" s="27" t="s">
        <v>44</v>
      </c>
      <c r="D2180" s="27" t="s">
        <v>28</v>
      </c>
      <c r="E2180" s="27" t="s">
        <v>56</v>
      </c>
      <c r="F2180" s="28" t="n">
        <v>271</v>
      </c>
      <c r="G2180" s="29" t="n">
        <v>4300</v>
      </c>
      <c r="H2180" s="29" t="n">
        <f aca="false">F2180*G2180</f>
        <v>1165300</v>
      </c>
    </row>
    <row r="2181" customFormat="false" ht="15" hidden="false" customHeight="false" outlineLevel="0" collapsed="false">
      <c r="A2181" s="27" t="n">
        <v>2025</v>
      </c>
      <c r="B2181" s="27" t="n">
        <v>10</v>
      </c>
      <c r="C2181" s="27" t="s">
        <v>44</v>
      </c>
      <c r="D2181" s="27" t="s">
        <v>28</v>
      </c>
      <c r="E2181" s="27" t="s">
        <v>58</v>
      </c>
      <c r="F2181" s="28" t="n">
        <v>174</v>
      </c>
      <c r="G2181" s="29" t="n">
        <v>4400</v>
      </c>
      <c r="H2181" s="29" t="n">
        <f aca="false">F2181*G2181</f>
        <v>765600</v>
      </c>
    </row>
    <row r="2182" customFormat="false" ht="15" hidden="false" customHeight="false" outlineLevel="0" collapsed="false">
      <c r="A2182" s="27" t="n">
        <v>2025</v>
      </c>
      <c r="B2182" s="27" t="n">
        <v>10</v>
      </c>
      <c r="C2182" s="27" t="s">
        <v>45</v>
      </c>
      <c r="D2182" s="27" t="s">
        <v>22</v>
      </c>
      <c r="E2182" s="27" t="s">
        <v>50</v>
      </c>
      <c r="F2182" s="28" t="n">
        <v>3285</v>
      </c>
      <c r="G2182" s="29" t="n">
        <v>2540</v>
      </c>
      <c r="H2182" s="29" t="n">
        <f aca="false">F2182*G2182</f>
        <v>8343900</v>
      </c>
    </row>
    <row r="2183" customFormat="false" ht="15" hidden="false" customHeight="false" outlineLevel="0" collapsed="false">
      <c r="A2183" s="27" t="n">
        <v>2025</v>
      </c>
      <c r="B2183" s="27" t="n">
        <v>10</v>
      </c>
      <c r="C2183" s="27" t="s">
        <v>45</v>
      </c>
      <c r="D2183" s="27" t="s">
        <v>22</v>
      </c>
      <c r="E2183" s="27" t="s">
        <v>52</v>
      </c>
      <c r="F2183" s="28" t="n">
        <v>1980</v>
      </c>
      <c r="G2183" s="29" t="n">
        <v>2520</v>
      </c>
      <c r="H2183" s="29" t="n">
        <f aca="false">F2183*G2183</f>
        <v>4989600</v>
      </c>
    </row>
    <row r="2184" customFormat="false" ht="15" hidden="false" customHeight="false" outlineLevel="0" collapsed="false">
      <c r="A2184" s="27" t="n">
        <v>2025</v>
      </c>
      <c r="B2184" s="27" t="n">
        <v>10</v>
      </c>
      <c r="C2184" s="27" t="s">
        <v>45</v>
      </c>
      <c r="D2184" s="27" t="s">
        <v>22</v>
      </c>
      <c r="E2184" s="27" t="s">
        <v>54</v>
      </c>
      <c r="F2184" s="28" t="n">
        <v>1438</v>
      </c>
      <c r="G2184" s="29" t="n">
        <v>2560</v>
      </c>
      <c r="H2184" s="29" t="n">
        <f aca="false">F2184*G2184</f>
        <v>3681280</v>
      </c>
    </row>
    <row r="2185" customFormat="false" ht="15" hidden="false" customHeight="false" outlineLevel="0" collapsed="false">
      <c r="A2185" s="27" t="n">
        <v>2025</v>
      </c>
      <c r="B2185" s="27" t="n">
        <v>10</v>
      </c>
      <c r="C2185" s="27" t="s">
        <v>45</v>
      </c>
      <c r="D2185" s="27" t="s">
        <v>22</v>
      </c>
      <c r="E2185" s="27" t="s">
        <v>56</v>
      </c>
      <c r="F2185" s="28" t="n">
        <v>1960</v>
      </c>
      <c r="G2185" s="29" t="n">
        <v>2530</v>
      </c>
      <c r="H2185" s="29" t="n">
        <f aca="false">F2185*G2185</f>
        <v>4958800</v>
      </c>
    </row>
    <row r="2186" customFormat="false" ht="15" hidden="false" customHeight="false" outlineLevel="0" collapsed="false">
      <c r="A2186" s="27" t="n">
        <v>2025</v>
      </c>
      <c r="B2186" s="27" t="n">
        <v>10</v>
      </c>
      <c r="C2186" s="27" t="s">
        <v>45</v>
      </c>
      <c r="D2186" s="27" t="s">
        <v>22</v>
      </c>
      <c r="E2186" s="27" t="s">
        <v>58</v>
      </c>
      <c r="F2186" s="28" t="n">
        <v>1302</v>
      </c>
      <c r="G2186" s="29" t="n">
        <v>2550</v>
      </c>
      <c r="H2186" s="29" t="n">
        <f aca="false">F2186*G2186</f>
        <v>3320100</v>
      </c>
    </row>
    <row r="2187" customFormat="false" ht="15" hidden="false" customHeight="false" outlineLevel="0" collapsed="false">
      <c r="A2187" s="27" t="n">
        <v>2025</v>
      </c>
      <c r="B2187" s="27" t="n">
        <v>10</v>
      </c>
      <c r="C2187" s="27" t="s">
        <v>45</v>
      </c>
      <c r="D2187" s="27" t="s">
        <v>24</v>
      </c>
      <c r="E2187" s="27" t="s">
        <v>50</v>
      </c>
      <c r="F2187" s="28" t="n">
        <v>1724</v>
      </c>
      <c r="G2187" s="29" t="n">
        <v>2340</v>
      </c>
      <c r="H2187" s="29" t="n">
        <f aca="false">F2187*G2187</f>
        <v>4034160</v>
      </c>
    </row>
    <row r="2188" customFormat="false" ht="15" hidden="false" customHeight="false" outlineLevel="0" collapsed="false">
      <c r="A2188" s="27" t="n">
        <v>2025</v>
      </c>
      <c r="B2188" s="27" t="n">
        <v>10</v>
      </c>
      <c r="C2188" s="27" t="s">
        <v>45</v>
      </c>
      <c r="D2188" s="27" t="s">
        <v>24</v>
      </c>
      <c r="E2188" s="27" t="s">
        <v>52</v>
      </c>
      <c r="F2188" s="28" t="n">
        <v>1102</v>
      </c>
      <c r="G2188" s="29" t="n">
        <v>2400</v>
      </c>
      <c r="H2188" s="29" t="n">
        <f aca="false">F2188*G2188</f>
        <v>2644800</v>
      </c>
    </row>
    <row r="2189" customFormat="false" ht="15" hidden="false" customHeight="false" outlineLevel="0" collapsed="false">
      <c r="A2189" s="27" t="n">
        <v>2025</v>
      </c>
      <c r="B2189" s="27" t="n">
        <v>10</v>
      </c>
      <c r="C2189" s="27" t="s">
        <v>45</v>
      </c>
      <c r="D2189" s="27" t="s">
        <v>24</v>
      </c>
      <c r="E2189" s="27" t="s">
        <v>54</v>
      </c>
      <c r="F2189" s="28" t="n">
        <v>975</v>
      </c>
      <c r="G2189" s="29" t="n">
        <v>2300</v>
      </c>
      <c r="H2189" s="29" t="n">
        <f aca="false">F2189*G2189</f>
        <v>2242500</v>
      </c>
    </row>
    <row r="2190" customFormat="false" ht="15" hidden="false" customHeight="false" outlineLevel="0" collapsed="false">
      <c r="A2190" s="27" t="n">
        <v>2025</v>
      </c>
      <c r="B2190" s="27" t="n">
        <v>10</v>
      </c>
      <c r="C2190" s="27" t="s">
        <v>45</v>
      </c>
      <c r="D2190" s="27" t="s">
        <v>24</v>
      </c>
      <c r="E2190" s="27" t="s">
        <v>56</v>
      </c>
      <c r="F2190" s="28" t="n">
        <v>1026</v>
      </c>
      <c r="G2190" s="29" t="n">
        <v>2350</v>
      </c>
      <c r="H2190" s="29" t="n">
        <f aca="false">F2190*G2190</f>
        <v>2411100</v>
      </c>
    </row>
    <row r="2191" customFormat="false" ht="15" hidden="false" customHeight="false" outlineLevel="0" collapsed="false">
      <c r="A2191" s="27" t="n">
        <v>2025</v>
      </c>
      <c r="B2191" s="27" t="n">
        <v>10</v>
      </c>
      <c r="C2191" s="27" t="s">
        <v>45</v>
      </c>
      <c r="D2191" s="27" t="s">
        <v>24</v>
      </c>
      <c r="E2191" s="27" t="s">
        <v>58</v>
      </c>
      <c r="F2191" s="28" t="n">
        <v>741</v>
      </c>
      <c r="G2191" s="29" t="n">
        <v>2320</v>
      </c>
      <c r="H2191" s="29" t="n">
        <f aca="false">F2191*G2191</f>
        <v>1719120</v>
      </c>
    </row>
    <row r="2192" customFormat="false" ht="15" hidden="false" customHeight="false" outlineLevel="0" collapsed="false">
      <c r="A2192" s="27" t="n">
        <v>2025</v>
      </c>
      <c r="B2192" s="27" t="n">
        <v>10</v>
      </c>
      <c r="C2192" s="27" t="s">
        <v>45</v>
      </c>
      <c r="D2192" s="27" t="s">
        <v>26</v>
      </c>
      <c r="E2192" s="27" t="s">
        <v>50</v>
      </c>
      <c r="F2192" s="28" t="n">
        <v>1044</v>
      </c>
      <c r="G2192" s="29" t="n">
        <v>2840</v>
      </c>
      <c r="H2192" s="29" t="n">
        <f aca="false">F2192*G2192</f>
        <v>2964960</v>
      </c>
    </row>
    <row r="2193" customFormat="false" ht="15" hidden="false" customHeight="false" outlineLevel="0" collapsed="false">
      <c r="A2193" s="27" t="n">
        <v>2025</v>
      </c>
      <c r="B2193" s="27" t="n">
        <v>10</v>
      </c>
      <c r="C2193" s="27" t="s">
        <v>45</v>
      </c>
      <c r="D2193" s="27" t="s">
        <v>26</v>
      </c>
      <c r="E2193" s="27" t="s">
        <v>52</v>
      </c>
      <c r="F2193" s="28" t="n">
        <v>609</v>
      </c>
      <c r="G2193" s="29" t="n">
        <v>2820</v>
      </c>
      <c r="H2193" s="29" t="n">
        <f aca="false">F2193*G2193</f>
        <v>1717380</v>
      </c>
    </row>
    <row r="2194" customFormat="false" ht="15" hidden="false" customHeight="false" outlineLevel="0" collapsed="false">
      <c r="A2194" s="27" t="n">
        <v>2025</v>
      </c>
      <c r="B2194" s="27" t="n">
        <v>10</v>
      </c>
      <c r="C2194" s="27" t="s">
        <v>45</v>
      </c>
      <c r="D2194" s="27" t="s">
        <v>26</v>
      </c>
      <c r="E2194" s="27" t="s">
        <v>54</v>
      </c>
      <c r="F2194" s="28" t="n">
        <v>493</v>
      </c>
      <c r="G2194" s="29" t="n">
        <v>2830</v>
      </c>
      <c r="H2194" s="29" t="n">
        <f aca="false">F2194*G2194</f>
        <v>1395190</v>
      </c>
    </row>
    <row r="2195" customFormat="false" ht="15" hidden="false" customHeight="false" outlineLevel="0" collapsed="false">
      <c r="A2195" s="27" t="n">
        <v>2025</v>
      </c>
      <c r="B2195" s="27" t="n">
        <v>10</v>
      </c>
      <c r="C2195" s="27" t="s">
        <v>45</v>
      </c>
      <c r="D2195" s="27" t="s">
        <v>26</v>
      </c>
      <c r="E2195" s="27" t="s">
        <v>56</v>
      </c>
      <c r="F2195" s="28" t="n">
        <v>557</v>
      </c>
      <c r="G2195" s="29" t="n">
        <v>2850</v>
      </c>
      <c r="H2195" s="29" t="n">
        <f aca="false">F2195*G2195</f>
        <v>1587450</v>
      </c>
    </row>
    <row r="2196" customFormat="false" ht="15" hidden="false" customHeight="false" outlineLevel="0" collapsed="false">
      <c r="A2196" s="27" t="n">
        <v>2025</v>
      </c>
      <c r="B2196" s="27" t="n">
        <v>10</v>
      </c>
      <c r="C2196" s="27" t="s">
        <v>45</v>
      </c>
      <c r="D2196" s="27" t="s">
        <v>26</v>
      </c>
      <c r="E2196" s="27" t="s">
        <v>58</v>
      </c>
      <c r="F2196" s="28" t="n">
        <v>355</v>
      </c>
      <c r="G2196" s="29" t="n">
        <v>2880</v>
      </c>
      <c r="H2196" s="29" t="n">
        <f aca="false">F2196*G2196</f>
        <v>1022400</v>
      </c>
    </row>
    <row r="2197" customFormat="false" ht="15" hidden="false" customHeight="false" outlineLevel="0" collapsed="false">
      <c r="A2197" s="27" t="n">
        <v>2025</v>
      </c>
      <c r="B2197" s="27" t="n">
        <v>10</v>
      </c>
      <c r="C2197" s="27" t="s">
        <v>45</v>
      </c>
      <c r="D2197" s="27" t="s">
        <v>28</v>
      </c>
      <c r="E2197" s="27" t="s">
        <v>50</v>
      </c>
      <c r="F2197" s="28" t="n">
        <v>453</v>
      </c>
      <c r="G2197" s="29" t="n">
        <v>2690</v>
      </c>
      <c r="H2197" s="29" t="n">
        <f aca="false">F2197*G2197</f>
        <v>1218570</v>
      </c>
    </row>
    <row r="2198" customFormat="false" ht="15" hidden="false" customHeight="false" outlineLevel="0" collapsed="false">
      <c r="A2198" s="27" t="n">
        <v>2025</v>
      </c>
      <c r="B2198" s="27" t="n">
        <v>10</v>
      </c>
      <c r="C2198" s="27" t="s">
        <v>45</v>
      </c>
      <c r="D2198" s="27" t="s">
        <v>28</v>
      </c>
      <c r="E2198" s="27" t="s">
        <v>52</v>
      </c>
      <c r="F2198" s="28" t="n">
        <v>266</v>
      </c>
      <c r="G2198" s="29" t="n">
        <v>2630</v>
      </c>
      <c r="H2198" s="29" t="n">
        <f aca="false">F2198*G2198</f>
        <v>699580</v>
      </c>
    </row>
    <row r="2199" customFormat="false" ht="15" hidden="false" customHeight="false" outlineLevel="0" collapsed="false">
      <c r="A2199" s="27" t="n">
        <v>2025</v>
      </c>
      <c r="B2199" s="27" t="n">
        <v>10</v>
      </c>
      <c r="C2199" s="27" t="s">
        <v>45</v>
      </c>
      <c r="D2199" s="27" t="s">
        <v>28</v>
      </c>
      <c r="E2199" s="27" t="s">
        <v>54</v>
      </c>
      <c r="F2199" s="28" t="n">
        <v>212</v>
      </c>
      <c r="G2199" s="29" t="n">
        <v>2670</v>
      </c>
      <c r="H2199" s="29" t="n">
        <f aca="false">F2199*G2199</f>
        <v>566040</v>
      </c>
    </row>
    <row r="2200" customFormat="false" ht="15" hidden="false" customHeight="false" outlineLevel="0" collapsed="false">
      <c r="A2200" s="27" t="n">
        <v>2025</v>
      </c>
      <c r="B2200" s="27" t="n">
        <v>10</v>
      </c>
      <c r="C2200" s="27" t="s">
        <v>45</v>
      </c>
      <c r="D2200" s="27" t="s">
        <v>28</v>
      </c>
      <c r="E2200" s="27" t="s">
        <v>56</v>
      </c>
      <c r="F2200" s="28" t="n">
        <v>268</v>
      </c>
      <c r="G2200" s="29" t="n">
        <v>2650</v>
      </c>
      <c r="H2200" s="29" t="n">
        <f aca="false">F2200*G2200</f>
        <v>710200</v>
      </c>
    </row>
    <row r="2201" customFormat="false" ht="15" hidden="false" customHeight="false" outlineLevel="0" collapsed="false">
      <c r="A2201" s="27" t="n">
        <v>2025</v>
      </c>
      <c r="B2201" s="27" t="n">
        <v>10</v>
      </c>
      <c r="C2201" s="27" t="s">
        <v>45</v>
      </c>
      <c r="D2201" s="27" t="s">
        <v>28</v>
      </c>
      <c r="E2201" s="27" t="s">
        <v>58</v>
      </c>
      <c r="F2201" s="28" t="n">
        <v>173</v>
      </c>
      <c r="G2201" s="29" t="n">
        <v>2620</v>
      </c>
      <c r="H2201" s="29" t="n">
        <f aca="false">F2201*G2201</f>
        <v>453260</v>
      </c>
    </row>
    <row r="2202" customFormat="false" ht="15" hidden="false" customHeight="false" outlineLevel="0" collapsed="false">
      <c r="A2202" s="27" t="n">
        <v>2025</v>
      </c>
      <c r="B2202" s="27" t="n">
        <v>11</v>
      </c>
      <c r="C2202" s="27" t="s">
        <v>38</v>
      </c>
      <c r="D2202" s="27" t="s">
        <v>22</v>
      </c>
      <c r="E2202" s="27" t="s">
        <v>50</v>
      </c>
      <c r="F2202" s="28" t="n">
        <v>8705</v>
      </c>
      <c r="G2202" s="29" t="n">
        <v>2730</v>
      </c>
      <c r="H2202" s="29" t="n">
        <f aca="false">F2202*G2202</f>
        <v>23764650</v>
      </c>
    </row>
    <row r="2203" customFormat="false" ht="15" hidden="false" customHeight="false" outlineLevel="0" collapsed="false">
      <c r="A2203" s="27" t="n">
        <v>2025</v>
      </c>
      <c r="B2203" s="27" t="n">
        <v>11</v>
      </c>
      <c r="C2203" s="27" t="s">
        <v>38</v>
      </c>
      <c r="D2203" s="27" t="s">
        <v>22</v>
      </c>
      <c r="E2203" s="27" t="s">
        <v>52</v>
      </c>
      <c r="F2203" s="28" t="n">
        <v>5267</v>
      </c>
      <c r="G2203" s="29" t="n">
        <v>2790</v>
      </c>
      <c r="H2203" s="29" t="n">
        <f aca="false">F2203*G2203</f>
        <v>14694930</v>
      </c>
    </row>
    <row r="2204" customFormat="false" ht="15" hidden="false" customHeight="false" outlineLevel="0" collapsed="false">
      <c r="A2204" s="27" t="n">
        <v>2025</v>
      </c>
      <c r="B2204" s="27" t="n">
        <v>11</v>
      </c>
      <c r="C2204" s="27" t="s">
        <v>38</v>
      </c>
      <c r="D2204" s="27" t="s">
        <v>22</v>
      </c>
      <c r="E2204" s="27" t="s">
        <v>54</v>
      </c>
      <c r="F2204" s="28" t="n">
        <v>4345</v>
      </c>
      <c r="G2204" s="29" t="n">
        <v>2780</v>
      </c>
      <c r="H2204" s="29" t="n">
        <f aca="false">F2204*G2204</f>
        <v>12079100</v>
      </c>
    </row>
    <row r="2205" customFormat="false" ht="15" hidden="false" customHeight="false" outlineLevel="0" collapsed="false">
      <c r="A2205" s="27" t="n">
        <v>2025</v>
      </c>
      <c r="B2205" s="27" t="n">
        <v>11</v>
      </c>
      <c r="C2205" s="27" t="s">
        <v>38</v>
      </c>
      <c r="D2205" s="27" t="s">
        <v>22</v>
      </c>
      <c r="E2205" s="27" t="s">
        <v>56</v>
      </c>
      <c r="F2205" s="28" t="n">
        <v>5043</v>
      </c>
      <c r="G2205" s="29" t="n">
        <v>2750</v>
      </c>
      <c r="H2205" s="29" t="n">
        <f aca="false">F2205*G2205</f>
        <v>13868250</v>
      </c>
    </row>
    <row r="2206" customFormat="false" ht="15" hidden="false" customHeight="false" outlineLevel="0" collapsed="false">
      <c r="A2206" s="27" t="n">
        <v>2025</v>
      </c>
      <c r="B2206" s="27" t="n">
        <v>11</v>
      </c>
      <c r="C2206" s="27" t="s">
        <v>38</v>
      </c>
      <c r="D2206" s="27" t="s">
        <v>22</v>
      </c>
      <c r="E2206" s="27" t="s">
        <v>58</v>
      </c>
      <c r="F2206" s="28" t="n">
        <v>3535</v>
      </c>
      <c r="G2206" s="29" t="n">
        <v>2700</v>
      </c>
      <c r="H2206" s="29" t="n">
        <f aca="false">F2206*G2206</f>
        <v>9544500</v>
      </c>
    </row>
    <row r="2207" customFormat="false" ht="15" hidden="false" customHeight="false" outlineLevel="0" collapsed="false">
      <c r="A2207" s="27" t="n">
        <v>2025</v>
      </c>
      <c r="B2207" s="27" t="n">
        <v>11</v>
      </c>
      <c r="C2207" s="27" t="s">
        <v>38</v>
      </c>
      <c r="D2207" s="27" t="s">
        <v>24</v>
      </c>
      <c r="E2207" s="27" t="s">
        <v>50</v>
      </c>
      <c r="F2207" s="28" t="n">
        <v>5413</v>
      </c>
      <c r="G2207" s="29" t="n">
        <v>2550</v>
      </c>
      <c r="H2207" s="29" t="n">
        <f aca="false">F2207*G2207</f>
        <v>13803150</v>
      </c>
    </row>
    <row r="2208" customFormat="false" ht="15" hidden="false" customHeight="false" outlineLevel="0" collapsed="false">
      <c r="A2208" s="27" t="n">
        <v>2025</v>
      </c>
      <c r="B2208" s="27" t="n">
        <v>11</v>
      </c>
      <c r="C2208" s="27" t="s">
        <v>38</v>
      </c>
      <c r="D2208" s="27" t="s">
        <v>24</v>
      </c>
      <c r="E2208" s="27" t="s">
        <v>52</v>
      </c>
      <c r="F2208" s="28" t="n">
        <v>3275</v>
      </c>
      <c r="G2208" s="29" t="n">
        <v>2530</v>
      </c>
      <c r="H2208" s="29" t="n">
        <f aca="false">F2208*G2208</f>
        <v>8285750</v>
      </c>
    </row>
    <row r="2209" customFormat="false" ht="15" hidden="false" customHeight="false" outlineLevel="0" collapsed="false">
      <c r="A2209" s="27" t="n">
        <v>2025</v>
      </c>
      <c r="B2209" s="27" t="n">
        <v>11</v>
      </c>
      <c r="C2209" s="27" t="s">
        <v>38</v>
      </c>
      <c r="D2209" s="27" t="s">
        <v>24</v>
      </c>
      <c r="E2209" s="27" t="s">
        <v>54</v>
      </c>
      <c r="F2209" s="28" t="n">
        <v>2505</v>
      </c>
      <c r="G2209" s="29" t="n">
        <v>2530</v>
      </c>
      <c r="H2209" s="29" t="n">
        <f aca="false">F2209*G2209</f>
        <v>6337650</v>
      </c>
    </row>
    <row r="2210" customFormat="false" ht="15" hidden="false" customHeight="false" outlineLevel="0" collapsed="false">
      <c r="A2210" s="27" t="n">
        <v>2025</v>
      </c>
      <c r="B2210" s="27" t="n">
        <v>11</v>
      </c>
      <c r="C2210" s="27" t="s">
        <v>38</v>
      </c>
      <c r="D2210" s="27" t="s">
        <v>24</v>
      </c>
      <c r="E2210" s="27" t="s">
        <v>56</v>
      </c>
      <c r="F2210" s="28" t="n">
        <v>3185</v>
      </c>
      <c r="G2210" s="29" t="n">
        <v>2560</v>
      </c>
      <c r="H2210" s="29" t="n">
        <f aca="false">F2210*G2210</f>
        <v>8153600</v>
      </c>
    </row>
    <row r="2211" customFormat="false" ht="15" hidden="false" customHeight="false" outlineLevel="0" collapsed="false">
      <c r="A2211" s="27" t="n">
        <v>2025</v>
      </c>
      <c r="B2211" s="27" t="n">
        <v>11</v>
      </c>
      <c r="C2211" s="27" t="s">
        <v>38</v>
      </c>
      <c r="D2211" s="27" t="s">
        <v>24</v>
      </c>
      <c r="E2211" s="27" t="s">
        <v>58</v>
      </c>
      <c r="F2211" s="28" t="n">
        <v>2090</v>
      </c>
      <c r="G2211" s="29" t="n">
        <v>2590</v>
      </c>
      <c r="H2211" s="29" t="n">
        <f aca="false">F2211*G2211</f>
        <v>5413100</v>
      </c>
    </row>
    <row r="2212" customFormat="false" ht="15" hidden="false" customHeight="false" outlineLevel="0" collapsed="false">
      <c r="A2212" s="27" t="n">
        <v>2025</v>
      </c>
      <c r="B2212" s="27" t="n">
        <v>11</v>
      </c>
      <c r="C2212" s="27" t="s">
        <v>38</v>
      </c>
      <c r="D2212" s="27" t="s">
        <v>26</v>
      </c>
      <c r="E2212" s="27" t="s">
        <v>50</v>
      </c>
      <c r="F2212" s="28" t="n">
        <v>2721</v>
      </c>
      <c r="G2212" s="29" t="n">
        <v>3100</v>
      </c>
      <c r="H2212" s="29" t="n">
        <f aca="false">F2212*G2212</f>
        <v>8435100</v>
      </c>
    </row>
    <row r="2213" customFormat="false" ht="15" hidden="false" customHeight="false" outlineLevel="0" collapsed="false">
      <c r="A2213" s="27" t="n">
        <v>2025</v>
      </c>
      <c r="B2213" s="27" t="n">
        <v>11</v>
      </c>
      <c r="C2213" s="27" t="s">
        <v>38</v>
      </c>
      <c r="D2213" s="27" t="s">
        <v>26</v>
      </c>
      <c r="E2213" s="27" t="s">
        <v>52</v>
      </c>
      <c r="F2213" s="28" t="n">
        <v>1494</v>
      </c>
      <c r="G2213" s="29" t="n">
        <v>3050</v>
      </c>
      <c r="H2213" s="29" t="n">
        <f aca="false">F2213*G2213</f>
        <v>4556700</v>
      </c>
    </row>
    <row r="2214" customFormat="false" ht="15" hidden="false" customHeight="false" outlineLevel="0" collapsed="false">
      <c r="A2214" s="27" t="n">
        <v>2025</v>
      </c>
      <c r="B2214" s="27" t="n">
        <v>11</v>
      </c>
      <c r="C2214" s="27" t="s">
        <v>38</v>
      </c>
      <c r="D2214" s="27" t="s">
        <v>26</v>
      </c>
      <c r="E2214" s="27" t="s">
        <v>54</v>
      </c>
      <c r="F2214" s="28" t="n">
        <v>1222</v>
      </c>
      <c r="G2214" s="29" t="n">
        <v>3090</v>
      </c>
      <c r="H2214" s="29" t="n">
        <f aca="false">F2214*G2214</f>
        <v>3775980</v>
      </c>
    </row>
    <row r="2215" customFormat="false" ht="15" hidden="false" customHeight="false" outlineLevel="0" collapsed="false">
      <c r="A2215" s="27" t="n">
        <v>2025</v>
      </c>
      <c r="B2215" s="27" t="n">
        <v>11</v>
      </c>
      <c r="C2215" s="27" t="s">
        <v>38</v>
      </c>
      <c r="D2215" s="27" t="s">
        <v>26</v>
      </c>
      <c r="E2215" s="27" t="s">
        <v>56</v>
      </c>
      <c r="F2215" s="28" t="n">
        <v>1541</v>
      </c>
      <c r="G2215" s="29" t="n">
        <v>3030</v>
      </c>
      <c r="H2215" s="29" t="n">
        <f aca="false">F2215*G2215</f>
        <v>4669230</v>
      </c>
    </row>
    <row r="2216" customFormat="false" ht="15" hidden="false" customHeight="false" outlineLevel="0" collapsed="false">
      <c r="A2216" s="27" t="n">
        <v>2025</v>
      </c>
      <c r="B2216" s="27" t="n">
        <v>11</v>
      </c>
      <c r="C2216" s="27" t="s">
        <v>38</v>
      </c>
      <c r="D2216" s="27" t="s">
        <v>26</v>
      </c>
      <c r="E2216" s="27" t="s">
        <v>58</v>
      </c>
      <c r="F2216" s="28" t="n">
        <v>1035</v>
      </c>
      <c r="G2216" s="29" t="n">
        <v>3030</v>
      </c>
      <c r="H2216" s="29" t="n">
        <f aca="false">F2216*G2216</f>
        <v>3136050</v>
      </c>
    </row>
    <row r="2217" customFormat="false" ht="15" hidden="false" customHeight="false" outlineLevel="0" collapsed="false">
      <c r="A2217" s="27" t="n">
        <v>2025</v>
      </c>
      <c r="B2217" s="27" t="n">
        <v>11</v>
      </c>
      <c r="C2217" s="27" t="s">
        <v>38</v>
      </c>
      <c r="D2217" s="27" t="s">
        <v>28</v>
      </c>
      <c r="E2217" s="27" t="s">
        <v>50</v>
      </c>
      <c r="F2217" s="28" t="n">
        <v>1211</v>
      </c>
      <c r="G2217" s="29" t="n">
        <v>2830</v>
      </c>
      <c r="H2217" s="29" t="n">
        <f aca="false">F2217*G2217</f>
        <v>3427130</v>
      </c>
    </row>
    <row r="2218" customFormat="false" ht="15" hidden="false" customHeight="false" outlineLevel="0" collapsed="false">
      <c r="A2218" s="27" t="n">
        <v>2025</v>
      </c>
      <c r="B2218" s="27" t="n">
        <v>11</v>
      </c>
      <c r="C2218" s="27" t="s">
        <v>38</v>
      </c>
      <c r="D2218" s="27" t="s">
        <v>28</v>
      </c>
      <c r="E2218" s="27" t="s">
        <v>52</v>
      </c>
      <c r="F2218" s="28" t="n">
        <v>779</v>
      </c>
      <c r="G2218" s="29" t="n">
        <v>2890</v>
      </c>
      <c r="H2218" s="29" t="n">
        <f aca="false">F2218*G2218</f>
        <v>2251310</v>
      </c>
    </row>
    <row r="2219" customFormat="false" ht="15" hidden="false" customHeight="false" outlineLevel="0" collapsed="false">
      <c r="A2219" s="27" t="n">
        <v>2025</v>
      </c>
      <c r="B2219" s="27" t="n">
        <v>11</v>
      </c>
      <c r="C2219" s="27" t="s">
        <v>38</v>
      </c>
      <c r="D2219" s="27" t="s">
        <v>28</v>
      </c>
      <c r="E2219" s="27" t="s">
        <v>54</v>
      </c>
      <c r="F2219" s="28" t="n">
        <v>665</v>
      </c>
      <c r="G2219" s="29" t="n">
        <v>2900</v>
      </c>
      <c r="H2219" s="29" t="n">
        <f aca="false">F2219*G2219</f>
        <v>1928500</v>
      </c>
    </row>
    <row r="2220" customFormat="false" ht="15" hidden="false" customHeight="false" outlineLevel="0" collapsed="false">
      <c r="A2220" s="27" t="n">
        <v>2025</v>
      </c>
      <c r="B2220" s="27" t="n">
        <v>11</v>
      </c>
      <c r="C2220" s="27" t="s">
        <v>38</v>
      </c>
      <c r="D2220" s="27" t="s">
        <v>28</v>
      </c>
      <c r="E2220" s="27" t="s">
        <v>56</v>
      </c>
      <c r="F2220" s="28" t="n">
        <v>706</v>
      </c>
      <c r="G2220" s="29" t="n">
        <v>2900</v>
      </c>
      <c r="H2220" s="29" t="n">
        <f aca="false">F2220*G2220</f>
        <v>2047400</v>
      </c>
    </row>
    <row r="2221" customFormat="false" ht="15" hidden="false" customHeight="false" outlineLevel="0" collapsed="false">
      <c r="A2221" s="27" t="n">
        <v>2025</v>
      </c>
      <c r="B2221" s="27" t="n">
        <v>11</v>
      </c>
      <c r="C2221" s="27" t="s">
        <v>38</v>
      </c>
      <c r="D2221" s="27" t="s">
        <v>28</v>
      </c>
      <c r="E2221" s="27" t="s">
        <v>58</v>
      </c>
      <c r="F2221" s="28" t="n">
        <v>459</v>
      </c>
      <c r="G2221" s="29" t="n">
        <v>2850</v>
      </c>
      <c r="H2221" s="29" t="n">
        <f aca="false">F2221*G2221</f>
        <v>1308150</v>
      </c>
    </row>
    <row r="2222" customFormat="false" ht="15" hidden="false" customHeight="false" outlineLevel="0" collapsed="false">
      <c r="A2222" s="27" t="n">
        <v>2025</v>
      </c>
      <c r="B2222" s="27" t="n">
        <v>11</v>
      </c>
      <c r="C2222" s="27" t="s">
        <v>40</v>
      </c>
      <c r="D2222" s="27" t="s">
        <v>22</v>
      </c>
      <c r="E2222" s="27" t="s">
        <v>50</v>
      </c>
      <c r="F2222" s="28" t="n">
        <v>4529</v>
      </c>
      <c r="G2222" s="29" t="n">
        <v>2370</v>
      </c>
      <c r="H2222" s="29" t="n">
        <f aca="false">F2222*G2222</f>
        <v>10733730</v>
      </c>
    </row>
    <row r="2223" customFormat="false" ht="15" hidden="false" customHeight="false" outlineLevel="0" collapsed="false">
      <c r="A2223" s="27" t="n">
        <v>2025</v>
      </c>
      <c r="B2223" s="27" t="n">
        <v>11</v>
      </c>
      <c r="C2223" s="27" t="s">
        <v>40</v>
      </c>
      <c r="D2223" s="27" t="s">
        <v>22</v>
      </c>
      <c r="E2223" s="27" t="s">
        <v>52</v>
      </c>
      <c r="F2223" s="28" t="n">
        <v>2779</v>
      </c>
      <c r="G2223" s="29" t="n">
        <v>2400</v>
      </c>
      <c r="H2223" s="29" t="n">
        <f aca="false">F2223*G2223</f>
        <v>6669600</v>
      </c>
    </row>
    <row r="2224" customFormat="false" ht="15" hidden="false" customHeight="false" outlineLevel="0" collapsed="false">
      <c r="A2224" s="27" t="n">
        <v>2025</v>
      </c>
      <c r="B2224" s="27" t="n">
        <v>11</v>
      </c>
      <c r="C2224" s="27" t="s">
        <v>40</v>
      </c>
      <c r="D2224" s="27" t="s">
        <v>22</v>
      </c>
      <c r="E2224" s="27" t="s">
        <v>54</v>
      </c>
      <c r="F2224" s="28" t="n">
        <v>2239</v>
      </c>
      <c r="G2224" s="29" t="n">
        <v>2400</v>
      </c>
      <c r="H2224" s="29" t="n">
        <f aca="false">F2224*G2224</f>
        <v>5373600</v>
      </c>
    </row>
    <row r="2225" customFormat="false" ht="15" hidden="false" customHeight="false" outlineLevel="0" collapsed="false">
      <c r="A2225" s="27" t="n">
        <v>2025</v>
      </c>
      <c r="B2225" s="27" t="n">
        <v>11</v>
      </c>
      <c r="C2225" s="27" t="s">
        <v>40</v>
      </c>
      <c r="D2225" s="27" t="s">
        <v>22</v>
      </c>
      <c r="E2225" s="27" t="s">
        <v>56</v>
      </c>
      <c r="F2225" s="28" t="n">
        <v>2701</v>
      </c>
      <c r="G2225" s="29" t="n">
        <v>2430</v>
      </c>
      <c r="H2225" s="29" t="n">
        <f aca="false">F2225*G2225</f>
        <v>6563430</v>
      </c>
    </row>
    <row r="2226" customFormat="false" ht="15" hidden="false" customHeight="false" outlineLevel="0" collapsed="false">
      <c r="A2226" s="27" t="n">
        <v>2025</v>
      </c>
      <c r="B2226" s="27" t="n">
        <v>11</v>
      </c>
      <c r="C2226" s="27" t="s">
        <v>40</v>
      </c>
      <c r="D2226" s="27" t="s">
        <v>22</v>
      </c>
      <c r="E2226" s="27" t="s">
        <v>58</v>
      </c>
      <c r="F2226" s="28" t="n">
        <v>1937</v>
      </c>
      <c r="G2226" s="29" t="n">
        <v>2430</v>
      </c>
      <c r="H2226" s="29" t="n">
        <f aca="false">F2226*G2226</f>
        <v>4706910</v>
      </c>
    </row>
    <row r="2227" customFormat="false" ht="15" hidden="false" customHeight="false" outlineLevel="0" collapsed="false">
      <c r="A2227" s="27" t="n">
        <v>2025</v>
      </c>
      <c r="B2227" s="27" t="n">
        <v>11</v>
      </c>
      <c r="C2227" s="27" t="s">
        <v>40</v>
      </c>
      <c r="D2227" s="27" t="s">
        <v>24</v>
      </c>
      <c r="E2227" s="27" t="s">
        <v>50</v>
      </c>
      <c r="F2227" s="28" t="n">
        <v>2480</v>
      </c>
      <c r="G2227" s="29" t="n">
        <v>2250</v>
      </c>
      <c r="H2227" s="29" t="n">
        <f aca="false">F2227*G2227</f>
        <v>5580000</v>
      </c>
    </row>
    <row r="2228" customFormat="false" ht="15" hidden="false" customHeight="false" outlineLevel="0" collapsed="false">
      <c r="A2228" s="27" t="n">
        <v>2025</v>
      </c>
      <c r="B2228" s="27" t="n">
        <v>11</v>
      </c>
      <c r="C2228" s="27" t="s">
        <v>40</v>
      </c>
      <c r="D2228" s="27" t="s">
        <v>24</v>
      </c>
      <c r="E2228" s="27" t="s">
        <v>52</v>
      </c>
      <c r="F2228" s="28" t="n">
        <v>1504</v>
      </c>
      <c r="G2228" s="29" t="n">
        <v>2270</v>
      </c>
      <c r="H2228" s="29" t="n">
        <f aca="false">F2228*G2228</f>
        <v>3414080</v>
      </c>
    </row>
    <row r="2229" customFormat="false" ht="15" hidden="false" customHeight="false" outlineLevel="0" collapsed="false">
      <c r="A2229" s="27" t="n">
        <v>2025</v>
      </c>
      <c r="B2229" s="27" t="n">
        <v>11</v>
      </c>
      <c r="C2229" s="27" t="s">
        <v>40</v>
      </c>
      <c r="D2229" s="27" t="s">
        <v>24</v>
      </c>
      <c r="E2229" s="27" t="s">
        <v>54</v>
      </c>
      <c r="F2229" s="28" t="n">
        <v>1328</v>
      </c>
      <c r="G2229" s="29" t="n">
        <v>2310</v>
      </c>
      <c r="H2229" s="29" t="n">
        <f aca="false">F2229*G2229</f>
        <v>3067680</v>
      </c>
    </row>
    <row r="2230" customFormat="false" ht="15" hidden="false" customHeight="false" outlineLevel="0" collapsed="false">
      <c r="A2230" s="27" t="n">
        <v>2025</v>
      </c>
      <c r="B2230" s="27" t="n">
        <v>11</v>
      </c>
      <c r="C2230" s="27" t="s">
        <v>40</v>
      </c>
      <c r="D2230" s="27" t="s">
        <v>24</v>
      </c>
      <c r="E2230" s="27" t="s">
        <v>56</v>
      </c>
      <c r="F2230" s="28" t="n">
        <v>1484</v>
      </c>
      <c r="G2230" s="29" t="n">
        <v>2250</v>
      </c>
      <c r="H2230" s="29" t="n">
        <f aca="false">F2230*G2230</f>
        <v>3339000</v>
      </c>
    </row>
    <row r="2231" customFormat="false" ht="15" hidden="false" customHeight="false" outlineLevel="0" collapsed="false">
      <c r="A2231" s="27" t="n">
        <v>2025</v>
      </c>
      <c r="B2231" s="27" t="n">
        <v>11</v>
      </c>
      <c r="C2231" s="27" t="s">
        <v>40</v>
      </c>
      <c r="D2231" s="27" t="s">
        <v>24</v>
      </c>
      <c r="E2231" s="27" t="s">
        <v>58</v>
      </c>
      <c r="F2231" s="28" t="n">
        <v>1018</v>
      </c>
      <c r="G2231" s="29" t="n">
        <v>2260</v>
      </c>
      <c r="H2231" s="29" t="n">
        <f aca="false">F2231*G2231</f>
        <v>2300680</v>
      </c>
    </row>
    <row r="2232" customFormat="false" ht="15" hidden="false" customHeight="false" outlineLevel="0" collapsed="false">
      <c r="A2232" s="27" t="n">
        <v>2025</v>
      </c>
      <c r="B2232" s="27" t="n">
        <v>11</v>
      </c>
      <c r="C2232" s="27" t="s">
        <v>40</v>
      </c>
      <c r="D2232" s="27" t="s">
        <v>26</v>
      </c>
      <c r="E2232" s="27" t="s">
        <v>50</v>
      </c>
      <c r="F2232" s="28" t="n">
        <v>1339</v>
      </c>
      <c r="G2232" s="29" t="n">
        <v>2720</v>
      </c>
      <c r="H2232" s="29" t="n">
        <f aca="false">F2232*G2232</f>
        <v>3642080</v>
      </c>
    </row>
    <row r="2233" customFormat="false" ht="15" hidden="false" customHeight="false" outlineLevel="0" collapsed="false">
      <c r="A2233" s="27" t="n">
        <v>2025</v>
      </c>
      <c r="B2233" s="27" t="n">
        <v>11</v>
      </c>
      <c r="C2233" s="27" t="s">
        <v>40</v>
      </c>
      <c r="D2233" s="27" t="s">
        <v>26</v>
      </c>
      <c r="E2233" s="27" t="s">
        <v>52</v>
      </c>
      <c r="F2233" s="28" t="n">
        <v>866</v>
      </c>
      <c r="G2233" s="29" t="n">
        <v>2700</v>
      </c>
      <c r="H2233" s="29" t="n">
        <f aca="false">F2233*G2233</f>
        <v>2338200</v>
      </c>
    </row>
    <row r="2234" customFormat="false" ht="15" hidden="false" customHeight="false" outlineLevel="0" collapsed="false">
      <c r="A2234" s="27" t="n">
        <v>2025</v>
      </c>
      <c r="B2234" s="27" t="n">
        <v>11</v>
      </c>
      <c r="C2234" s="27" t="s">
        <v>40</v>
      </c>
      <c r="D2234" s="27" t="s">
        <v>26</v>
      </c>
      <c r="E2234" s="27" t="s">
        <v>54</v>
      </c>
      <c r="F2234" s="28" t="n">
        <v>689</v>
      </c>
      <c r="G2234" s="29" t="n">
        <v>2730</v>
      </c>
      <c r="H2234" s="29" t="n">
        <f aca="false">F2234*G2234</f>
        <v>1880970</v>
      </c>
    </row>
    <row r="2235" customFormat="false" ht="15" hidden="false" customHeight="false" outlineLevel="0" collapsed="false">
      <c r="A2235" s="27" t="n">
        <v>2025</v>
      </c>
      <c r="B2235" s="27" t="n">
        <v>11</v>
      </c>
      <c r="C2235" s="27" t="s">
        <v>40</v>
      </c>
      <c r="D2235" s="27" t="s">
        <v>26</v>
      </c>
      <c r="E2235" s="27" t="s">
        <v>56</v>
      </c>
      <c r="F2235" s="28" t="n">
        <v>779</v>
      </c>
      <c r="G2235" s="29" t="n">
        <v>2710</v>
      </c>
      <c r="H2235" s="29" t="n">
        <f aca="false">F2235*G2235</f>
        <v>2111090</v>
      </c>
    </row>
    <row r="2236" customFormat="false" ht="15" hidden="false" customHeight="false" outlineLevel="0" collapsed="false">
      <c r="A2236" s="27" t="n">
        <v>2025</v>
      </c>
      <c r="B2236" s="27" t="n">
        <v>11</v>
      </c>
      <c r="C2236" s="27" t="s">
        <v>40</v>
      </c>
      <c r="D2236" s="27" t="s">
        <v>26</v>
      </c>
      <c r="E2236" s="27" t="s">
        <v>58</v>
      </c>
      <c r="F2236" s="28" t="n">
        <v>598</v>
      </c>
      <c r="G2236" s="29" t="n">
        <v>2700</v>
      </c>
      <c r="H2236" s="29" t="n">
        <f aca="false">F2236*G2236</f>
        <v>1614600</v>
      </c>
    </row>
    <row r="2237" customFormat="false" ht="15" hidden="false" customHeight="false" outlineLevel="0" collapsed="false">
      <c r="A2237" s="27" t="n">
        <v>2025</v>
      </c>
      <c r="B2237" s="27" t="n">
        <v>11</v>
      </c>
      <c r="C2237" s="27" t="s">
        <v>40</v>
      </c>
      <c r="D2237" s="27" t="s">
        <v>28</v>
      </c>
      <c r="E2237" s="27" t="s">
        <v>50</v>
      </c>
      <c r="F2237" s="28" t="n">
        <v>629</v>
      </c>
      <c r="G2237" s="29" t="n">
        <v>2530</v>
      </c>
      <c r="H2237" s="29" t="n">
        <f aca="false">F2237*G2237</f>
        <v>1591370</v>
      </c>
    </row>
    <row r="2238" customFormat="false" ht="15" hidden="false" customHeight="false" outlineLevel="0" collapsed="false">
      <c r="A2238" s="27" t="n">
        <v>2025</v>
      </c>
      <c r="B2238" s="27" t="n">
        <v>11</v>
      </c>
      <c r="C2238" s="27" t="s">
        <v>40</v>
      </c>
      <c r="D2238" s="27" t="s">
        <v>28</v>
      </c>
      <c r="E2238" s="27" t="s">
        <v>52</v>
      </c>
      <c r="F2238" s="28" t="n">
        <v>422</v>
      </c>
      <c r="G2238" s="29" t="n">
        <v>2570</v>
      </c>
      <c r="H2238" s="29" t="n">
        <f aca="false">F2238*G2238</f>
        <v>1084540</v>
      </c>
    </row>
    <row r="2239" customFormat="false" ht="15" hidden="false" customHeight="false" outlineLevel="0" collapsed="false">
      <c r="A2239" s="27" t="n">
        <v>2025</v>
      </c>
      <c r="B2239" s="27" t="n">
        <v>11</v>
      </c>
      <c r="C2239" s="27" t="s">
        <v>40</v>
      </c>
      <c r="D2239" s="27" t="s">
        <v>28</v>
      </c>
      <c r="E2239" s="27" t="s">
        <v>54</v>
      </c>
      <c r="F2239" s="28" t="n">
        <v>300</v>
      </c>
      <c r="G2239" s="29" t="n">
        <v>2560</v>
      </c>
      <c r="H2239" s="29" t="n">
        <f aca="false">F2239*G2239</f>
        <v>768000</v>
      </c>
    </row>
    <row r="2240" customFormat="false" ht="15" hidden="false" customHeight="false" outlineLevel="0" collapsed="false">
      <c r="A2240" s="27" t="n">
        <v>2025</v>
      </c>
      <c r="B2240" s="27" t="n">
        <v>11</v>
      </c>
      <c r="C2240" s="27" t="s">
        <v>40</v>
      </c>
      <c r="D2240" s="27" t="s">
        <v>28</v>
      </c>
      <c r="E2240" s="27" t="s">
        <v>56</v>
      </c>
      <c r="F2240" s="28" t="n">
        <v>373</v>
      </c>
      <c r="G2240" s="29" t="n">
        <v>2530</v>
      </c>
      <c r="H2240" s="29" t="n">
        <f aca="false">F2240*G2240</f>
        <v>943690</v>
      </c>
    </row>
    <row r="2241" customFormat="false" ht="15" hidden="false" customHeight="false" outlineLevel="0" collapsed="false">
      <c r="A2241" s="27" t="n">
        <v>2025</v>
      </c>
      <c r="B2241" s="27" t="n">
        <v>11</v>
      </c>
      <c r="C2241" s="27" t="s">
        <v>40</v>
      </c>
      <c r="D2241" s="27" t="s">
        <v>28</v>
      </c>
      <c r="E2241" s="27" t="s">
        <v>58</v>
      </c>
      <c r="F2241" s="28" t="n">
        <v>261</v>
      </c>
      <c r="G2241" s="29" t="n">
        <v>2560</v>
      </c>
      <c r="H2241" s="29" t="n">
        <f aca="false">F2241*G2241</f>
        <v>668160</v>
      </c>
    </row>
    <row r="2242" customFormat="false" ht="15" hidden="false" customHeight="false" outlineLevel="0" collapsed="false">
      <c r="A2242" s="27" t="n">
        <v>2025</v>
      </c>
      <c r="B2242" s="27" t="n">
        <v>11</v>
      </c>
      <c r="C2242" s="27" t="s">
        <v>42</v>
      </c>
      <c r="D2242" s="27" t="s">
        <v>22</v>
      </c>
      <c r="E2242" s="27" t="s">
        <v>50</v>
      </c>
      <c r="F2242" s="28" t="n">
        <v>4994</v>
      </c>
      <c r="G2242" s="29" t="n">
        <v>2210</v>
      </c>
      <c r="H2242" s="29" t="n">
        <f aca="false">F2242*G2242</f>
        <v>11036740</v>
      </c>
    </row>
    <row r="2243" customFormat="false" ht="15" hidden="false" customHeight="false" outlineLevel="0" collapsed="false">
      <c r="A2243" s="27" t="n">
        <v>2025</v>
      </c>
      <c r="B2243" s="27" t="n">
        <v>11</v>
      </c>
      <c r="C2243" s="27" t="s">
        <v>42</v>
      </c>
      <c r="D2243" s="27" t="s">
        <v>22</v>
      </c>
      <c r="E2243" s="27" t="s">
        <v>52</v>
      </c>
      <c r="F2243" s="28" t="n">
        <v>3154</v>
      </c>
      <c r="G2243" s="29" t="n">
        <v>2220</v>
      </c>
      <c r="H2243" s="29" t="n">
        <f aca="false">F2243*G2243</f>
        <v>7001880</v>
      </c>
    </row>
    <row r="2244" customFormat="false" ht="15" hidden="false" customHeight="false" outlineLevel="0" collapsed="false">
      <c r="A2244" s="27" t="n">
        <v>2025</v>
      </c>
      <c r="B2244" s="27" t="n">
        <v>11</v>
      </c>
      <c r="C2244" s="27" t="s">
        <v>42</v>
      </c>
      <c r="D2244" s="27" t="s">
        <v>22</v>
      </c>
      <c r="E2244" s="27" t="s">
        <v>54</v>
      </c>
      <c r="F2244" s="28" t="n">
        <v>2477</v>
      </c>
      <c r="G2244" s="29" t="n">
        <v>2200</v>
      </c>
      <c r="H2244" s="29" t="n">
        <f aca="false">F2244*G2244</f>
        <v>5449400</v>
      </c>
    </row>
    <row r="2245" customFormat="false" ht="15" hidden="false" customHeight="false" outlineLevel="0" collapsed="false">
      <c r="A2245" s="27" t="n">
        <v>2025</v>
      </c>
      <c r="B2245" s="27" t="n">
        <v>11</v>
      </c>
      <c r="C2245" s="27" t="s">
        <v>42</v>
      </c>
      <c r="D2245" s="27" t="s">
        <v>22</v>
      </c>
      <c r="E2245" s="27" t="s">
        <v>56</v>
      </c>
      <c r="F2245" s="28" t="n">
        <v>3182</v>
      </c>
      <c r="G2245" s="29" t="n">
        <v>2190</v>
      </c>
      <c r="H2245" s="29" t="n">
        <f aca="false">F2245*G2245</f>
        <v>6968580</v>
      </c>
    </row>
    <row r="2246" customFormat="false" ht="15" hidden="false" customHeight="false" outlineLevel="0" collapsed="false">
      <c r="A2246" s="27" t="n">
        <v>2025</v>
      </c>
      <c r="B2246" s="27" t="n">
        <v>11</v>
      </c>
      <c r="C2246" s="27" t="s">
        <v>42</v>
      </c>
      <c r="D2246" s="27" t="s">
        <v>22</v>
      </c>
      <c r="E2246" s="27" t="s">
        <v>58</v>
      </c>
      <c r="F2246" s="28" t="n">
        <v>2050</v>
      </c>
      <c r="G2246" s="29" t="n">
        <v>2210</v>
      </c>
      <c r="H2246" s="29" t="n">
        <f aca="false">F2246*G2246</f>
        <v>4530500</v>
      </c>
    </row>
    <row r="2247" customFormat="false" ht="15" hidden="false" customHeight="false" outlineLevel="0" collapsed="false">
      <c r="A2247" s="27" t="n">
        <v>2025</v>
      </c>
      <c r="B2247" s="27" t="n">
        <v>11</v>
      </c>
      <c r="C2247" s="27" t="s">
        <v>42</v>
      </c>
      <c r="D2247" s="27" t="s">
        <v>24</v>
      </c>
      <c r="E2247" s="27" t="s">
        <v>50</v>
      </c>
      <c r="F2247" s="28" t="n">
        <v>3112</v>
      </c>
      <c r="G2247" s="29" t="n">
        <v>2040</v>
      </c>
      <c r="H2247" s="29" t="n">
        <f aca="false">F2247*G2247</f>
        <v>6348480</v>
      </c>
    </row>
    <row r="2248" customFormat="false" ht="15" hidden="false" customHeight="false" outlineLevel="0" collapsed="false">
      <c r="A2248" s="27" t="n">
        <v>2025</v>
      </c>
      <c r="B2248" s="27" t="n">
        <v>11</v>
      </c>
      <c r="C2248" s="27" t="s">
        <v>42</v>
      </c>
      <c r="D2248" s="27" t="s">
        <v>24</v>
      </c>
      <c r="E2248" s="27" t="s">
        <v>52</v>
      </c>
      <c r="F2248" s="28" t="n">
        <v>1722</v>
      </c>
      <c r="G2248" s="29" t="n">
        <v>2040</v>
      </c>
      <c r="H2248" s="29" t="n">
        <f aca="false">F2248*G2248</f>
        <v>3512880</v>
      </c>
    </row>
    <row r="2249" customFormat="false" ht="15" hidden="false" customHeight="false" outlineLevel="0" collapsed="false">
      <c r="A2249" s="27" t="n">
        <v>2025</v>
      </c>
      <c r="B2249" s="27" t="n">
        <v>11</v>
      </c>
      <c r="C2249" s="27" t="s">
        <v>42</v>
      </c>
      <c r="D2249" s="27" t="s">
        <v>24</v>
      </c>
      <c r="E2249" s="27" t="s">
        <v>54</v>
      </c>
      <c r="F2249" s="28" t="n">
        <v>1453</v>
      </c>
      <c r="G2249" s="29" t="n">
        <v>2030</v>
      </c>
      <c r="H2249" s="29" t="n">
        <f aca="false">F2249*G2249</f>
        <v>2949590</v>
      </c>
    </row>
    <row r="2250" customFormat="false" ht="15" hidden="false" customHeight="false" outlineLevel="0" collapsed="false">
      <c r="A2250" s="27" t="n">
        <v>2025</v>
      </c>
      <c r="B2250" s="27" t="n">
        <v>11</v>
      </c>
      <c r="C2250" s="27" t="s">
        <v>42</v>
      </c>
      <c r="D2250" s="27" t="s">
        <v>24</v>
      </c>
      <c r="E2250" s="27" t="s">
        <v>56</v>
      </c>
      <c r="F2250" s="28" t="n">
        <v>1658</v>
      </c>
      <c r="G2250" s="29" t="n">
        <v>2020</v>
      </c>
      <c r="H2250" s="29" t="n">
        <f aca="false">F2250*G2250</f>
        <v>3349160</v>
      </c>
    </row>
    <row r="2251" customFormat="false" ht="15" hidden="false" customHeight="false" outlineLevel="0" collapsed="false">
      <c r="A2251" s="27" t="n">
        <v>2025</v>
      </c>
      <c r="B2251" s="27" t="n">
        <v>11</v>
      </c>
      <c r="C2251" s="27" t="s">
        <v>42</v>
      </c>
      <c r="D2251" s="27" t="s">
        <v>24</v>
      </c>
      <c r="E2251" s="27" t="s">
        <v>58</v>
      </c>
      <c r="F2251" s="28" t="n">
        <v>1176</v>
      </c>
      <c r="G2251" s="29" t="n">
        <v>2050</v>
      </c>
      <c r="H2251" s="29" t="n">
        <f aca="false">F2251*G2251</f>
        <v>2410800</v>
      </c>
    </row>
    <row r="2252" customFormat="false" ht="15" hidden="false" customHeight="false" outlineLevel="0" collapsed="false">
      <c r="A2252" s="27" t="n">
        <v>2025</v>
      </c>
      <c r="B2252" s="27" t="n">
        <v>11</v>
      </c>
      <c r="C2252" s="27" t="s">
        <v>42</v>
      </c>
      <c r="D2252" s="27" t="s">
        <v>26</v>
      </c>
      <c r="E2252" s="27" t="s">
        <v>50</v>
      </c>
      <c r="F2252" s="28" t="n">
        <v>1348</v>
      </c>
      <c r="G2252" s="29" t="n">
        <v>2510</v>
      </c>
      <c r="H2252" s="29" t="n">
        <f aca="false">F2252*G2252</f>
        <v>3383480</v>
      </c>
    </row>
    <row r="2253" customFormat="false" ht="15" hidden="false" customHeight="false" outlineLevel="0" collapsed="false">
      <c r="A2253" s="27" t="n">
        <v>2025</v>
      </c>
      <c r="B2253" s="27" t="n">
        <v>11</v>
      </c>
      <c r="C2253" s="27" t="s">
        <v>42</v>
      </c>
      <c r="D2253" s="27" t="s">
        <v>26</v>
      </c>
      <c r="E2253" s="27" t="s">
        <v>52</v>
      </c>
      <c r="F2253" s="28" t="n">
        <v>851</v>
      </c>
      <c r="G2253" s="29" t="n">
        <v>2500</v>
      </c>
      <c r="H2253" s="29" t="n">
        <f aca="false">F2253*G2253</f>
        <v>2127500</v>
      </c>
    </row>
    <row r="2254" customFormat="false" ht="15" hidden="false" customHeight="false" outlineLevel="0" collapsed="false">
      <c r="A2254" s="27" t="n">
        <v>2025</v>
      </c>
      <c r="B2254" s="27" t="n">
        <v>11</v>
      </c>
      <c r="C2254" s="27" t="s">
        <v>42</v>
      </c>
      <c r="D2254" s="27" t="s">
        <v>26</v>
      </c>
      <c r="E2254" s="27" t="s">
        <v>54</v>
      </c>
      <c r="F2254" s="28" t="n">
        <v>703</v>
      </c>
      <c r="G2254" s="29" t="n">
        <v>2520</v>
      </c>
      <c r="H2254" s="29" t="n">
        <f aca="false">F2254*G2254</f>
        <v>1771560</v>
      </c>
    </row>
    <row r="2255" customFormat="false" ht="15" hidden="false" customHeight="false" outlineLevel="0" collapsed="false">
      <c r="A2255" s="27" t="n">
        <v>2025</v>
      </c>
      <c r="B2255" s="27" t="n">
        <v>11</v>
      </c>
      <c r="C2255" s="27" t="s">
        <v>42</v>
      </c>
      <c r="D2255" s="27" t="s">
        <v>26</v>
      </c>
      <c r="E2255" s="27" t="s">
        <v>56</v>
      </c>
      <c r="F2255" s="28" t="n">
        <v>897</v>
      </c>
      <c r="G2255" s="29" t="n">
        <v>2460</v>
      </c>
      <c r="H2255" s="29" t="n">
        <f aca="false">F2255*G2255</f>
        <v>2206620</v>
      </c>
    </row>
    <row r="2256" customFormat="false" ht="15" hidden="false" customHeight="false" outlineLevel="0" collapsed="false">
      <c r="A2256" s="27" t="n">
        <v>2025</v>
      </c>
      <c r="B2256" s="27" t="n">
        <v>11</v>
      </c>
      <c r="C2256" s="27" t="s">
        <v>42</v>
      </c>
      <c r="D2256" s="27" t="s">
        <v>26</v>
      </c>
      <c r="E2256" s="27" t="s">
        <v>58</v>
      </c>
      <c r="F2256" s="28" t="n">
        <v>565</v>
      </c>
      <c r="G2256" s="29" t="n">
        <v>2500</v>
      </c>
      <c r="H2256" s="29" t="n">
        <f aca="false">F2256*G2256</f>
        <v>1412500</v>
      </c>
    </row>
    <row r="2257" customFormat="false" ht="15" hidden="false" customHeight="false" outlineLevel="0" collapsed="false">
      <c r="A2257" s="27" t="n">
        <v>2025</v>
      </c>
      <c r="B2257" s="27" t="n">
        <v>11</v>
      </c>
      <c r="C2257" s="27" t="s">
        <v>42</v>
      </c>
      <c r="D2257" s="27" t="s">
        <v>28</v>
      </c>
      <c r="E2257" s="27" t="s">
        <v>50</v>
      </c>
      <c r="F2257" s="28" t="n">
        <v>679</v>
      </c>
      <c r="G2257" s="29" t="n">
        <v>2320</v>
      </c>
      <c r="H2257" s="29" t="n">
        <f aca="false">F2257*G2257</f>
        <v>1575280</v>
      </c>
    </row>
    <row r="2258" customFormat="false" ht="15" hidden="false" customHeight="false" outlineLevel="0" collapsed="false">
      <c r="A2258" s="27" t="n">
        <v>2025</v>
      </c>
      <c r="B2258" s="27" t="n">
        <v>11</v>
      </c>
      <c r="C2258" s="27" t="s">
        <v>42</v>
      </c>
      <c r="D2258" s="27" t="s">
        <v>28</v>
      </c>
      <c r="E2258" s="27" t="s">
        <v>52</v>
      </c>
      <c r="F2258" s="28" t="n">
        <v>457</v>
      </c>
      <c r="G2258" s="29" t="n">
        <v>2310</v>
      </c>
      <c r="H2258" s="29" t="n">
        <f aca="false">F2258*G2258</f>
        <v>1055670</v>
      </c>
    </row>
    <row r="2259" customFormat="false" ht="15" hidden="false" customHeight="false" outlineLevel="0" collapsed="false">
      <c r="A2259" s="27" t="n">
        <v>2025</v>
      </c>
      <c r="B2259" s="27" t="n">
        <v>11</v>
      </c>
      <c r="C2259" s="27" t="s">
        <v>42</v>
      </c>
      <c r="D2259" s="27" t="s">
        <v>28</v>
      </c>
      <c r="E2259" s="27" t="s">
        <v>54</v>
      </c>
      <c r="F2259" s="28" t="n">
        <v>345</v>
      </c>
      <c r="G2259" s="29" t="n">
        <v>2350</v>
      </c>
      <c r="H2259" s="29" t="n">
        <f aca="false">F2259*G2259</f>
        <v>810750</v>
      </c>
    </row>
    <row r="2260" customFormat="false" ht="15" hidden="false" customHeight="false" outlineLevel="0" collapsed="false">
      <c r="A2260" s="27" t="n">
        <v>2025</v>
      </c>
      <c r="B2260" s="27" t="n">
        <v>11</v>
      </c>
      <c r="C2260" s="27" t="s">
        <v>42</v>
      </c>
      <c r="D2260" s="27" t="s">
        <v>28</v>
      </c>
      <c r="E2260" s="27" t="s">
        <v>56</v>
      </c>
      <c r="F2260" s="28" t="n">
        <v>425</v>
      </c>
      <c r="G2260" s="29" t="n">
        <v>2320</v>
      </c>
      <c r="H2260" s="29" t="n">
        <f aca="false">F2260*G2260</f>
        <v>986000</v>
      </c>
    </row>
    <row r="2261" customFormat="false" ht="15" hidden="false" customHeight="false" outlineLevel="0" collapsed="false">
      <c r="A2261" s="27" t="n">
        <v>2025</v>
      </c>
      <c r="B2261" s="27" t="n">
        <v>11</v>
      </c>
      <c r="C2261" s="27" t="s">
        <v>42</v>
      </c>
      <c r="D2261" s="27" t="s">
        <v>28</v>
      </c>
      <c r="E2261" s="27" t="s">
        <v>58</v>
      </c>
      <c r="F2261" s="28" t="n">
        <v>275</v>
      </c>
      <c r="G2261" s="29" t="n">
        <v>2290</v>
      </c>
      <c r="H2261" s="29" t="n">
        <f aca="false">F2261*G2261</f>
        <v>629750</v>
      </c>
    </row>
    <row r="2262" customFormat="false" ht="15" hidden="false" customHeight="false" outlineLevel="0" collapsed="false">
      <c r="A2262" s="27" t="n">
        <v>2025</v>
      </c>
      <c r="B2262" s="27" t="n">
        <v>11</v>
      </c>
      <c r="C2262" s="27" t="s">
        <v>44</v>
      </c>
      <c r="D2262" s="27" t="s">
        <v>22</v>
      </c>
      <c r="E2262" s="27" t="s">
        <v>50</v>
      </c>
      <c r="F2262" s="28" t="n">
        <v>3160</v>
      </c>
      <c r="G2262" s="29" t="n">
        <v>4130</v>
      </c>
      <c r="H2262" s="29" t="n">
        <f aca="false">F2262*G2262</f>
        <v>13050800</v>
      </c>
    </row>
    <row r="2263" customFormat="false" ht="15" hidden="false" customHeight="false" outlineLevel="0" collapsed="false">
      <c r="A2263" s="27" t="n">
        <v>2025</v>
      </c>
      <c r="B2263" s="27" t="n">
        <v>11</v>
      </c>
      <c r="C2263" s="27" t="s">
        <v>44</v>
      </c>
      <c r="D2263" s="27" t="s">
        <v>22</v>
      </c>
      <c r="E2263" s="27" t="s">
        <v>52</v>
      </c>
      <c r="F2263" s="28" t="n">
        <v>2071</v>
      </c>
      <c r="G2263" s="29" t="n">
        <v>4120</v>
      </c>
      <c r="H2263" s="29" t="n">
        <f aca="false">F2263*G2263</f>
        <v>8532520</v>
      </c>
    </row>
    <row r="2264" customFormat="false" ht="15" hidden="false" customHeight="false" outlineLevel="0" collapsed="false">
      <c r="A2264" s="27" t="n">
        <v>2025</v>
      </c>
      <c r="B2264" s="27" t="n">
        <v>11</v>
      </c>
      <c r="C2264" s="27" t="s">
        <v>44</v>
      </c>
      <c r="D2264" s="27" t="s">
        <v>22</v>
      </c>
      <c r="E2264" s="27" t="s">
        <v>54</v>
      </c>
      <c r="F2264" s="28" t="n">
        <v>1755</v>
      </c>
      <c r="G2264" s="29" t="n">
        <v>4070</v>
      </c>
      <c r="H2264" s="29" t="n">
        <f aca="false">F2264*G2264</f>
        <v>7142850</v>
      </c>
    </row>
    <row r="2265" customFormat="false" ht="15" hidden="false" customHeight="false" outlineLevel="0" collapsed="false">
      <c r="A2265" s="27" t="n">
        <v>2025</v>
      </c>
      <c r="B2265" s="27" t="n">
        <v>11</v>
      </c>
      <c r="C2265" s="27" t="s">
        <v>44</v>
      </c>
      <c r="D2265" s="27" t="s">
        <v>22</v>
      </c>
      <c r="E2265" s="27" t="s">
        <v>56</v>
      </c>
      <c r="F2265" s="28" t="n">
        <v>1958</v>
      </c>
      <c r="G2265" s="29" t="n">
        <v>4120</v>
      </c>
      <c r="H2265" s="29" t="n">
        <f aca="false">F2265*G2265</f>
        <v>8066960</v>
      </c>
    </row>
    <row r="2266" customFormat="false" ht="15" hidden="false" customHeight="false" outlineLevel="0" collapsed="false">
      <c r="A2266" s="27" t="n">
        <v>2025</v>
      </c>
      <c r="B2266" s="27" t="n">
        <v>11</v>
      </c>
      <c r="C2266" s="27" t="s">
        <v>44</v>
      </c>
      <c r="D2266" s="27" t="s">
        <v>22</v>
      </c>
      <c r="E2266" s="27" t="s">
        <v>58</v>
      </c>
      <c r="F2266" s="28" t="n">
        <v>1308</v>
      </c>
      <c r="G2266" s="29" t="n">
        <v>4170</v>
      </c>
      <c r="H2266" s="29" t="n">
        <f aca="false">F2266*G2266</f>
        <v>5454360</v>
      </c>
    </row>
    <row r="2267" customFormat="false" ht="15" hidden="false" customHeight="false" outlineLevel="0" collapsed="false">
      <c r="A2267" s="27" t="n">
        <v>2025</v>
      </c>
      <c r="B2267" s="27" t="n">
        <v>11</v>
      </c>
      <c r="C2267" s="27" t="s">
        <v>44</v>
      </c>
      <c r="D2267" s="27" t="s">
        <v>24</v>
      </c>
      <c r="E2267" s="27" t="s">
        <v>50</v>
      </c>
      <c r="F2267" s="28" t="n">
        <v>2019</v>
      </c>
      <c r="G2267" s="29" t="n">
        <v>3840</v>
      </c>
      <c r="H2267" s="29" t="n">
        <f aca="false">F2267*G2267</f>
        <v>7752960</v>
      </c>
    </row>
    <row r="2268" customFormat="false" ht="15" hidden="false" customHeight="false" outlineLevel="0" collapsed="false">
      <c r="A2268" s="27" t="n">
        <v>2025</v>
      </c>
      <c r="B2268" s="27" t="n">
        <v>11</v>
      </c>
      <c r="C2268" s="27" t="s">
        <v>44</v>
      </c>
      <c r="D2268" s="27" t="s">
        <v>24</v>
      </c>
      <c r="E2268" s="27" t="s">
        <v>52</v>
      </c>
      <c r="F2268" s="28" t="n">
        <v>1316</v>
      </c>
      <c r="G2268" s="29" t="n">
        <v>3770</v>
      </c>
      <c r="H2268" s="29" t="n">
        <f aca="false">F2268*G2268</f>
        <v>4961320</v>
      </c>
    </row>
    <row r="2269" customFormat="false" ht="15" hidden="false" customHeight="false" outlineLevel="0" collapsed="false">
      <c r="A2269" s="27" t="n">
        <v>2025</v>
      </c>
      <c r="B2269" s="27" t="n">
        <v>11</v>
      </c>
      <c r="C2269" s="27" t="s">
        <v>44</v>
      </c>
      <c r="D2269" s="27" t="s">
        <v>24</v>
      </c>
      <c r="E2269" s="27" t="s">
        <v>54</v>
      </c>
      <c r="F2269" s="28" t="n">
        <v>965</v>
      </c>
      <c r="G2269" s="29" t="n">
        <v>3840</v>
      </c>
      <c r="H2269" s="29" t="n">
        <f aca="false">F2269*G2269</f>
        <v>3705600</v>
      </c>
    </row>
    <row r="2270" customFormat="false" ht="15" hidden="false" customHeight="false" outlineLevel="0" collapsed="false">
      <c r="A2270" s="27" t="n">
        <v>2025</v>
      </c>
      <c r="B2270" s="27" t="n">
        <v>11</v>
      </c>
      <c r="C2270" s="27" t="s">
        <v>44</v>
      </c>
      <c r="D2270" s="27" t="s">
        <v>24</v>
      </c>
      <c r="E2270" s="27" t="s">
        <v>56</v>
      </c>
      <c r="F2270" s="28" t="n">
        <v>1094</v>
      </c>
      <c r="G2270" s="29" t="n">
        <v>3840</v>
      </c>
      <c r="H2270" s="29" t="n">
        <f aca="false">F2270*G2270</f>
        <v>4200960</v>
      </c>
    </row>
    <row r="2271" customFormat="false" ht="15" hidden="false" customHeight="false" outlineLevel="0" collapsed="false">
      <c r="A2271" s="27" t="n">
        <v>2025</v>
      </c>
      <c r="B2271" s="27" t="n">
        <v>11</v>
      </c>
      <c r="C2271" s="27" t="s">
        <v>44</v>
      </c>
      <c r="D2271" s="27" t="s">
        <v>24</v>
      </c>
      <c r="E2271" s="27" t="s">
        <v>58</v>
      </c>
      <c r="F2271" s="28" t="n">
        <v>741</v>
      </c>
      <c r="G2271" s="29" t="n">
        <v>3850</v>
      </c>
      <c r="H2271" s="29" t="n">
        <f aca="false">F2271*G2271</f>
        <v>2852850</v>
      </c>
    </row>
    <row r="2272" customFormat="false" ht="15" hidden="false" customHeight="false" outlineLevel="0" collapsed="false">
      <c r="A2272" s="27" t="n">
        <v>2025</v>
      </c>
      <c r="B2272" s="27" t="n">
        <v>11</v>
      </c>
      <c r="C2272" s="27" t="s">
        <v>44</v>
      </c>
      <c r="D2272" s="27" t="s">
        <v>26</v>
      </c>
      <c r="E2272" s="27" t="s">
        <v>50</v>
      </c>
      <c r="F2272" s="28" t="n">
        <v>1036</v>
      </c>
      <c r="G2272" s="29" t="n">
        <v>4620</v>
      </c>
      <c r="H2272" s="29" t="n">
        <f aca="false">F2272*G2272</f>
        <v>4786320</v>
      </c>
    </row>
    <row r="2273" customFormat="false" ht="15" hidden="false" customHeight="false" outlineLevel="0" collapsed="false">
      <c r="A2273" s="27" t="n">
        <v>2025</v>
      </c>
      <c r="B2273" s="27" t="n">
        <v>11</v>
      </c>
      <c r="C2273" s="27" t="s">
        <v>44</v>
      </c>
      <c r="D2273" s="27" t="s">
        <v>26</v>
      </c>
      <c r="E2273" s="27" t="s">
        <v>52</v>
      </c>
      <c r="F2273" s="28" t="n">
        <v>558</v>
      </c>
      <c r="G2273" s="29" t="n">
        <v>4560</v>
      </c>
      <c r="H2273" s="29" t="n">
        <f aca="false">F2273*G2273</f>
        <v>2544480</v>
      </c>
    </row>
    <row r="2274" customFormat="false" ht="15" hidden="false" customHeight="false" outlineLevel="0" collapsed="false">
      <c r="A2274" s="27" t="n">
        <v>2025</v>
      </c>
      <c r="B2274" s="27" t="n">
        <v>11</v>
      </c>
      <c r="C2274" s="27" t="s">
        <v>44</v>
      </c>
      <c r="D2274" s="27" t="s">
        <v>26</v>
      </c>
      <c r="E2274" s="27" t="s">
        <v>54</v>
      </c>
      <c r="F2274" s="28" t="n">
        <v>506</v>
      </c>
      <c r="G2274" s="29" t="n">
        <v>4610</v>
      </c>
      <c r="H2274" s="29" t="n">
        <f aca="false">F2274*G2274</f>
        <v>2332660</v>
      </c>
    </row>
    <row r="2275" customFormat="false" ht="15" hidden="false" customHeight="false" outlineLevel="0" collapsed="false">
      <c r="A2275" s="27" t="n">
        <v>2025</v>
      </c>
      <c r="B2275" s="27" t="n">
        <v>11</v>
      </c>
      <c r="C2275" s="27" t="s">
        <v>44</v>
      </c>
      <c r="D2275" s="27" t="s">
        <v>26</v>
      </c>
      <c r="E2275" s="27" t="s">
        <v>56</v>
      </c>
      <c r="F2275" s="28" t="n">
        <v>505</v>
      </c>
      <c r="G2275" s="29" t="n">
        <v>4670</v>
      </c>
      <c r="H2275" s="29" t="n">
        <f aca="false">F2275*G2275</f>
        <v>2358350</v>
      </c>
    </row>
    <row r="2276" customFormat="false" ht="15" hidden="false" customHeight="false" outlineLevel="0" collapsed="false">
      <c r="A2276" s="27" t="n">
        <v>2025</v>
      </c>
      <c r="B2276" s="27" t="n">
        <v>11</v>
      </c>
      <c r="C2276" s="27" t="s">
        <v>44</v>
      </c>
      <c r="D2276" s="27" t="s">
        <v>26</v>
      </c>
      <c r="E2276" s="27" t="s">
        <v>58</v>
      </c>
      <c r="F2276" s="28" t="n">
        <v>402</v>
      </c>
      <c r="G2276" s="29" t="n">
        <v>4570</v>
      </c>
      <c r="H2276" s="29" t="n">
        <f aca="false">F2276*G2276</f>
        <v>1837140</v>
      </c>
    </row>
    <row r="2277" customFormat="false" ht="15" hidden="false" customHeight="false" outlineLevel="0" collapsed="false">
      <c r="A2277" s="27" t="n">
        <v>2025</v>
      </c>
      <c r="B2277" s="27" t="n">
        <v>11</v>
      </c>
      <c r="C2277" s="27" t="s">
        <v>44</v>
      </c>
      <c r="D2277" s="27" t="s">
        <v>28</v>
      </c>
      <c r="E2277" s="27" t="s">
        <v>50</v>
      </c>
      <c r="F2277" s="28" t="n">
        <v>487</v>
      </c>
      <c r="G2277" s="29" t="n">
        <v>4290</v>
      </c>
      <c r="H2277" s="29" t="n">
        <f aca="false">F2277*G2277</f>
        <v>2089230</v>
      </c>
    </row>
    <row r="2278" customFormat="false" ht="15" hidden="false" customHeight="false" outlineLevel="0" collapsed="false">
      <c r="A2278" s="27" t="n">
        <v>2025</v>
      </c>
      <c r="B2278" s="27" t="n">
        <v>11</v>
      </c>
      <c r="C2278" s="27" t="s">
        <v>44</v>
      </c>
      <c r="D2278" s="27" t="s">
        <v>28</v>
      </c>
      <c r="E2278" s="27" t="s">
        <v>52</v>
      </c>
      <c r="F2278" s="28" t="n">
        <v>280</v>
      </c>
      <c r="G2278" s="29" t="n">
        <v>4340</v>
      </c>
      <c r="H2278" s="29" t="n">
        <f aca="false">F2278*G2278</f>
        <v>1215200</v>
      </c>
    </row>
    <row r="2279" customFormat="false" ht="15" hidden="false" customHeight="false" outlineLevel="0" collapsed="false">
      <c r="A2279" s="27" t="n">
        <v>2025</v>
      </c>
      <c r="B2279" s="27" t="n">
        <v>11</v>
      </c>
      <c r="C2279" s="27" t="s">
        <v>44</v>
      </c>
      <c r="D2279" s="27" t="s">
        <v>28</v>
      </c>
      <c r="E2279" s="27" t="s">
        <v>54</v>
      </c>
      <c r="F2279" s="28" t="n">
        <v>253</v>
      </c>
      <c r="G2279" s="29" t="n">
        <v>4390</v>
      </c>
      <c r="H2279" s="29" t="n">
        <f aca="false">F2279*G2279</f>
        <v>1110670</v>
      </c>
    </row>
    <row r="2280" customFormat="false" ht="15" hidden="false" customHeight="false" outlineLevel="0" collapsed="false">
      <c r="A2280" s="27" t="n">
        <v>2025</v>
      </c>
      <c r="B2280" s="27" t="n">
        <v>11</v>
      </c>
      <c r="C2280" s="27" t="s">
        <v>44</v>
      </c>
      <c r="D2280" s="27" t="s">
        <v>28</v>
      </c>
      <c r="E2280" s="27" t="s">
        <v>56</v>
      </c>
      <c r="F2280" s="28" t="n">
        <v>281</v>
      </c>
      <c r="G2280" s="29" t="n">
        <v>4340</v>
      </c>
      <c r="H2280" s="29" t="n">
        <f aca="false">F2280*G2280</f>
        <v>1219540</v>
      </c>
    </row>
    <row r="2281" customFormat="false" ht="15" hidden="false" customHeight="false" outlineLevel="0" collapsed="false">
      <c r="A2281" s="27" t="n">
        <v>2025</v>
      </c>
      <c r="B2281" s="27" t="n">
        <v>11</v>
      </c>
      <c r="C2281" s="27" t="s">
        <v>44</v>
      </c>
      <c r="D2281" s="27" t="s">
        <v>28</v>
      </c>
      <c r="E2281" s="27" t="s">
        <v>58</v>
      </c>
      <c r="F2281" s="28" t="n">
        <v>196</v>
      </c>
      <c r="G2281" s="29" t="n">
        <v>4270</v>
      </c>
      <c r="H2281" s="29" t="n">
        <f aca="false">F2281*G2281</f>
        <v>836920</v>
      </c>
    </row>
    <row r="2282" customFormat="false" ht="15" hidden="false" customHeight="false" outlineLevel="0" collapsed="false">
      <c r="A2282" s="27" t="n">
        <v>2025</v>
      </c>
      <c r="B2282" s="27" t="n">
        <v>11</v>
      </c>
      <c r="C2282" s="27" t="s">
        <v>45</v>
      </c>
      <c r="D2282" s="27" t="s">
        <v>22</v>
      </c>
      <c r="E2282" s="27" t="s">
        <v>50</v>
      </c>
      <c r="F2282" s="28" t="n">
        <v>3532</v>
      </c>
      <c r="G2282" s="29" t="n">
        <v>2510</v>
      </c>
      <c r="H2282" s="29" t="n">
        <f aca="false">F2282*G2282</f>
        <v>8865320</v>
      </c>
    </row>
    <row r="2283" customFormat="false" ht="15" hidden="false" customHeight="false" outlineLevel="0" collapsed="false">
      <c r="A2283" s="27" t="n">
        <v>2025</v>
      </c>
      <c r="B2283" s="27" t="n">
        <v>11</v>
      </c>
      <c r="C2283" s="27" t="s">
        <v>45</v>
      </c>
      <c r="D2283" s="27" t="s">
        <v>22</v>
      </c>
      <c r="E2283" s="27" t="s">
        <v>52</v>
      </c>
      <c r="F2283" s="28" t="n">
        <v>2173</v>
      </c>
      <c r="G2283" s="29" t="n">
        <v>2530</v>
      </c>
      <c r="H2283" s="29" t="n">
        <f aca="false">F2283*G2283</f>
        <v>5497690</v>
      </c>
    </row>
    <row r="2284" customFormat="false" ht="15" hidden="false" customHeight="false" outlineLevel="0" collapsed="false">
      <c r="A2284" s="27" t="n">
        <v>2025</v>
      </c>
      <c r="B2284" s="27" t="n">
        <v>11</v>
      </c>
      <c r="C2284" s="27" t="s">
        <v>45</v>
      </c>
      <c r="D2284" s="27" t="s">
        <v>22</v>
      </c>
      <c r="E2284" s="27" t="s">
        <v>54</v>
      </c>
      <c r="F2284" s="28" t="n">
        <v>1754</v>
      </c>
      <c r="G2284" s="29" t="n">
        <v>2530</v>
      </c>
      <c r="H2284" s="29" t="n">
        <f aca="false">F2284*G2284</f>
        <v>4437620</v>
      </c>
    </row>
    <row r="2285" customFormat="false" ht="15" hidden="false" customHeight="false" outlineLevel="0" collapsed="false">
      <c r="A2285" s="27" t="n">
        <v>2025</v>
      </c>
      <c r="B2285" s="27" t="n">
        <v>11</v>
      </c>
      <c r="C2285" s="27" t="s">
        <v>45</v>
      </c>
      <c r="D2285" s="27" t="s">
        <v>22</v>
      </c>
      <c r="E2285" s="27" t="s">
        <v>56</v>
      </c>
      <c r="F2285" s="28" t="n">
        <v>1720</v>
      </c>
      <c r="G2285" s="29" t="n">
        <v>2540</v>
      </c>
      <c r="H2285" s="29" t="n">
        <f aca="false">F2285*G2285</f>
        <v>4368800</v>
      </c>
    </row>
    <row r="2286" customFormat="false" ht="15" hidden="false" customHeight="false" outlineLevel="0" collapsed="false">
      <c r="A2286" s="27" t="n">
        <v>2025</v>
      </c>
      <c r="B2286" s="27" t="n">
        <v>11</v>
      </c>
      <c r="C2286" s="27" t="s">
        <v>45</v>
      </c>
      <c r="D2286" s="27" t="s">
        <v>22</v>
      </c>
      <c r="E2286" s="27" t="s">
        <v>58</v>
      </c>
      <c r="F2286" s="28" t="n">
        <v>1435</v>
      </c>
      <c r="G2286" s="29" t="n">
        <v>2540</v>
      </c>
      <c r="H2286" s="29" t="n">
        <f aca="false">F2286*G2286</f>
        <v>3644900</v>
      </c>
    </row>
    <row r="2287" customFormat="false" ht="15" hidden="false" customHeight="false" outlineLevel="0" collapsed="false">
      <c r="A2287" s="27" t="n">
        <v>2025</v>
      </c>
      <c r="B2287" s="27" t="n">
        <v>11</v>
      </c>
      <c r="C2287" s="27" t="s">
        <v>45</v>
      </c>
      <c r="D2287" s="27" t="s">
        <v>24</v>
      </c>
      <c r="E2287" s="27" t="s">
        <v>50</v>
      </c>
      <c r="F2287" s="28" t="n">
        <v>1971</v>
      </c>
      <c r="G2287" s="29" t="n">
        <v>2390</v>
      </c>
      <c r="H2287" s="29" t="n">
        <f aca="false">F2287*G2287</f>
        <v>4710690</v>
      </c>
    </row>
    <row r="2288" customFormat="false" ht="15" hidden="false" customHeight="false" outlineLevel="0" collapsed="false">
      <c r="A2288" s="27" t="n">
        <v>2025</v>
      </c>
      <c r="B2288" s="27" t="n">
        <v>11</v>
      </c>
      <c r="C2288" s="27" t="s">
        <v>45</v>
      </c>
      <c r="D2288" s="27" t="s">
        <v>24</v>
      </c>
      <c r="E2288" s="27" t="s">
        <v>52</v>
      </c>
      <c r="F2288" s="28" t="n">
        <v>1257</v>
      </c>
      <c r="G2288" s="29" t="n">
        <v>2370</v>
      </c>
      <c r="H2288" s="29" t="n">
        <f aca="false">F2288*G2288</f>
        <v>2979090</v>
      </c>
    </row>
    <row r="2289" customFormat="false" ht="15" hidden="false" customHeight="false" outlineLevel="0" collapsed="false">
      <c r="A2289" s="27" t="n">
        <v>2025</v>
      </c>
      <c r="B2289" s="27" t="n">
        <v>11</v>
      </c>
      <c r="C2289" s="27" t="s">
        <v>45</v>
      </c>
      <c r="D2289" s="27" t="s">
        <v>24</v>
      </c>
      <c r="E2289" s="27" t="s">
        <v>54</v>
      </c>
      <c r="F2289" s="28" t="n">
        <v>1042</v>
      </c>
      <c r="G2289" s="29" t="n">
        <v>2360</v>
      </c>
      <c r="H2289" s="29" t="n">
        <f aca="false">F2289*G2289</f>
        <v>2459120</v>
      </c>
    </row>
    <row r="2290" customFormat="false" ht="15" hidden="false" customHeight="false" outlineLevel="0" collapsed="false">
      <c r="A2290" s="27" t="n">
        <v>2025</v>
      </c>
      <c r="B2290" s="27" t="n">
        <v>11</v>
      </c>
      <c r="C2290" s="27" t="s">
        <v>45</v>
      </c>
      <c r="D2290" s="27" t="s">
        <v>24</v>
      </c>
      <c r="E2290" s="27" t="s">
        <v>56</v>
      </c>
      <c r="F2290" s="28" t="n">
        <v>1123</v>
      </c>
      <c r="G2290" s="29" t="n">
        <v>2300</v>
      </c>
      <c r="H2290" s="29" t="n">
        <f aca="false">F2290*G2290</f>
        <v>2582900</v>
      </c>
    </row>
    <row r="2291" customFormat="false" ht="15" hidden="false" customHeight="false" outlineLevel="0" collapsed="false">
      <c r="A2291" s="27" t="n">
        <v>2025</v>
      </c>
      <c r="B2291" s="27" t="n">
        <v>11</v>
      </c>
      <c r="C2291" s="27" t="s">
        <v>45</v>
      </c>
      <c r="D2291" s="27" t="s">
        <v>24</v>
      </c>
      <c r="E2291" s="27" t="s">
        <v>58</v>
      </c>
      <c r="F2291" s="28" t="n">
        <v>786</v>
      </c>
      <c r="G2291" s="29" t="n">
        <v>2370</v>
      </c>
      <c r="H2291" s="29" t="n">
        <f aca="false">F2291*G2291</f>
        <v>1862820</v>
      </c>
    </row>
    <row r="2292" customFormat="false" ht="15" hidden="false" customHeight="false" outlineLevel="0" collapsed="false">
      <c r="A2292" s="27" t="n">
        <v>2025</v>
      </c>
      <c r="B2292" s="27" t="n">
        <v>11</v>
      </c>
      <c r="C2292" s="27" t="s">
        <v>45</v>
      </c>
      <c r="D2292" s="27" t="s">
        <v>26</v>
      </c>
      <c r="E2292" s="27" t="s">
        <v>50</v>
      </c>
      <c r="F2292" s="28" t="n">
        <v>991</v>
      </c>
      <c r="G2292" s="29" t="n">
        <v>2860</v>
      </c>
      <c r="H2292" s="29" t="n">
        <f aca="false">F2292*G2292</f>
        <v>2834260</v>
      </c>
    </row>
    <row r="2293" customFormat="false" ht="15" hidden="false" customHeight="false" outlineLevel="0" collapsed="false">
      <c r="A2293" s="27" t="n">
        <v>2025</v>
      </c>
      <c r="B2293" s="27" t="n">
        <v>11</v>
      </c>
      <c r="C2293" s="27" t="s">
        <v>45</v>
      </c>
      <c r="D2293" s="27" t="s">
        <v>26</v>
      </c>
      <c r="E2293" s="27" t="s">
        <v>52</v>
      </c>
      <c r="F2293" s="28" t="n">
        <v>635</v>
      </c>
      <c r="G2293" s="29" t="n">
        <v>2870</v>
      </c>
      <c r="H2293" s="29" t="n">
        <f aca="false">F2293*G2293</f>
        <v>1822450</v>
      </c>
    </row>
    <row r="2294" customFormat="false" ht="15" hidden="false" customHeight="false" outlineLevel="0" collapsed="false">
      <c r="A2294" s="27" t="n">
        <v>2025</v>
      </c>
      <c r="B2294" s="27" t="n">
        <v>11</v>
      </c>
      <c r="C2294" s="27" t="s">
        <v>45</v>
      </c>
      <c r="D2294" s="27" t="s">
        <v>26</v>
      </c>
      <c r="E2294" s="27" t="s">
        <v>54</v>
      </c>
      <c r="F2294" s="28" t="n">
        <v>497</v>
      </c>
      <c r="G2294" s="29" t="n">
        <v>2850</v>
      </c>
      <c r="H2294" s="29" t="n">
        <f aca="false">F2294*G2294</f>
        <v>1416450</v>
      </c>
    </row>
    <row r="2295" customFormat="false" ht="15" hidden="false" customHeight="false" outlineLevel="0" collapsed="false">
      <c r="A2295" s="27" t="n">
        <v>2025</v>
      </c>
      <c r="B2295" s="27" t="n">
        <v>11</v>
      </c>
      <c r="C2295" s="27" t="s">
        <v>45</v>
      </c>
      <c r="D2295" s="27" t="s">
        <v>26</v>
      </c>
      <c r="E2295" s="27" t="s">
        <v>56</v>
      </c>
      <c r="F2295" s="28" t="n">
        <v>614</v>
      </c>
      <c r="G2295" s="29" t="n">
        <v>2880</v>
      </c>
      <c r="H2295" s="29" t="n">
        <f aca="false">F2295*G2295</f>
        <v>1768320</v>
      </c>
    </row>
    <row r="2296" customFormat="false" ht="15" hidden="false" customHeight="false" outlineLevel="0" collapsed="false">
      <c r="A2296" s="27" t="n">
        <v>2025</v>
      </c>
      <c r="B2296" s="27" t="n">
        <v>11</v>
      </c>
      <c r="C2296" s="27" t="s">
        <v>45</v>
      </c>
      <c r="D2296" s="27" t="s">
        <v>26</v>
      </c>
      <c r="E2296" s="27" t="s">
        <v>58</v>
      </c>
      <c r="F2296" s="28" t="n">
        <v>375</v>
      </c>
      <c r="G2296" s="29" t="n">
        <v>2820</v>
      </c>
      <c r="H2296" s="29" t="n">
        <f aca="false">F2296*G2296</f>
        <v>1057500</v>
      </c>
    </row>
    <row r="2297" customFormat="false" ht="15" hidden="false" customHeight="false" outlineLevel="0" collapsed="false">
      <c r="A2297" s="27" t="n">
        <v>2025</v>
      </c>
      <c r="B2297" s="27" t="n">
        <v>11</v>
      </c>
      <c r="C2297" s="27" t="s">
        <v>45</v>
      </c>
      <c r="D2297" s="27" t="s">
        <v>28</v>
      </c>
      <c r="E2297" s="27" t="s">
        <v>50</v>
      </c>
      <c r="F2297" s="28" t="n">
        <v>496</v>
      </c>
      <c r="G2297" s="29" t="n">
        <v>2700</v>
      </c>
      <c r="H2297" s="29" t="n">
        <f aca="false">F2297*G2297</f>
        <v>1339200</v>
      </c>
    </row>
    <row r="2298" customFormat="false" ht="15" hidden="false" customHeight="false" outlineLevel="0" collapsed="false">
      <c r="A2298" s="27" t="n">
        <v>2025</v>
      </c>
      <c r="B2298" s="27" t="n">
        <v>11</v>
      </c>
      <c r="C2298" s="27" t="s">
        <v>45</v>
      </c>
      <c r="D2298" s="27" t="s">
        <v>28</v>
      </c>
      <c r="E2298" s="27" t="s">
        <v>52</v>
      </c>
      <c r="F2298" s="28" t="n">
        <v>301</v>
      </c>
      <c r="G2298" s="29" t="n">
        <v>2650</v>
      </c>
      <c r="H2298" s="29" t="n">
        <f aca="false">F2298*G2298</f>
        <v>797650</v>
      </c>
    </row>
    <row r="2299" customFormat="false" ht="15" hidden="false" customHeight="false" outlineLevel="0" collapsed="false">
      <c r="A2299" s="27" t="n">
        <v>2025</v>
      </c>
      <c r="B2299" s="27" t="n">
        <v>11</v>
      </c>
      <c r="C2299" s="27" t="s">
        <v>45</v>
      </c>
      <c r="D2299" s="27" t="s">
        <v>28</v>
      </c>
      <c r="E2299" s="27" t="s">
        <v>54</v>
      </c>
      <c r="F2299" s="28" t="n">
        <v>247</v>
      </c>
      <c r="G2299" s="29" t="n">
        <v>2680</v>
      </c>
      <c r="H2299" s="29" t="n">
        <f aca="false">F2299*G2299</f>
        <v>661960</v>
      </c>
    </row>
    <row r="2300" customFormat="false" ht="15" hidden="false" customHeight="false" outlineLevel="0" collapsed="false">
      <c r="A2300" s="27" t="n">
        <v>2025</v>
      </c>
      <c r="B2300" s="27" t="n">
        <v>11</v>
      </c>
      <c r="C2300" s="27" t="s">
        <v>45</v>
      </c>
      <c r="D2300" s="27" t="s">
        <v>28</v>
      </c>
      <c r="E2300" s="27" t="s">
        <v>56</v>
      </c>
      <c r="F2300" s="28" t="n">
        <v>278</v>
      </c>
      <c r="G2300" s="29" t="n">
        <v>2670</v>
      </c>
      <c r="H2300" s="29" t="n">
        <f aca="false">F2300*G2300</f>
        <v>742260</v>
      </c>
    </row>
    <row r="2301" customFormat="false" ht="15" hidden="false" customHeight="false" outlineLevel="0" collapsed="false">
      <c r="A2301" s="27" t="n">
        <v>2025</v>
      </c>
      <c r="B2301" s="27" t="n">
        <v>11</v>
      </c>
      <c r="C2301" s="27" t="s">
        <v>45</v>
      </c>
      <c r="D2301" s="27" t="s">
        <v>28</v>
      </c>
      <c r="E2301" s="27" t="s">
        <v>58</v>
      </c>
      <c r="F2301" s="28" t="n">
        <v>205</v>
      </c>
      <c r="G2301" s="29" t="n">
        <v>2710</v>
      </c>
      <c r="H2301" s="29" t="n">
        <f aca="false">F2301*G2301</f>
        <v>555550</v>
      </c>
    </row>
    <row r="2302" customFormat="false" ht="15" hidden="false" customHeight="false" outlineLevel="0" collapsed="false">
      <c r="A2302" s="27" t="n">
        <v>2025</v>
      </c>
      <c r="B2302" s="27" t="n">
        <v>12</v>
      </c>
      <c r="C2302" s="27" t="s">
        <v>38</v>
      </c>
      <c r="D2302" s="27" t="s">
        <v>22</v>
      </c>
      <c r="E2302" s="27" t="s">
        <v>50</v>
      </c>
      <c r="F2302" s="28" t="n">
        <v>10928</v>
      </c>
      <c r="G2302" s="29" t="n">
        <v>2740</v>
      </c>
      <c r="H2302" s="29" t="n">
        <f aca="false">F2302*G2302</f>
        <v>29942720</v>
      </c>
    </row>
    <row r="2303" customFormat="false" ht="15" hidden="false" customHeight="false" outlineLevel="0" collapsed="false">
      <c r="A2303" s="27" t="n">
        <v>2025</v>
      </c>
      <c r="B2303" s="27" t="n">
        <v>12</v>
      </c>
      <c r="C2303" s="27" t="s">
        <v>38</v>
      </c>
      <c r="D2303" s="27" t="s">
        <v>22</v>
      </c>
      <c r="E2303" s="27" t="s">
        <v>52</v>
      </c>
      <c r="F2303" s="28" t="n">
        <v>6568</v>
      </c>
      <c r="G2303" s="29" t="n">
        <v>2760</v>
      </c>
      <c r="H2303" s="29" t="n">
        <f aca="false">F2303*G2303</f>
        <v>18127680</v>
      </c>
    </row>
    <row r="2304" customFormat="false" ht="15" hidden="false" customHeight="false" outlineLevel="0" collapsed="false">
      <c r="A2304" s="27" t="n">
        <v>2025</v>
      </c>
      <c r="B2304" s="27" t="n">
        <v>12</v>
      </c>
      <c r="C2304" s="27" t="s">
        <v>38</v>
      </c>
      <c r="D2304" s="27" t="s">
        <v>22</v>
      </c>
      <c r="E2304" s="27" t="s">
        <v>54</v>
      </c>
      <c r="F2304" s="28" t="n">
        <v>5238</v>
      </c>
      <c r="G2304" s="29" t="n">
        <v>2750</v>
      </c>
      <c r="H2304" s="29" t="n">
        <f aca="false">F2304*G2304</f>
        <v>14404500</v>
      </c>
    </row>
    <row r="2305" customFormat="false" ht="15" hidden="false" customHeight="false" outlineLevel="0" collapsed="false">
      <c r="A2305" s="27" t="n">
        <v>2025</v>
      </c>
      <c r="B2305" s="27" t="n">
        <v>12</v>
      </c>
      <c r="C2305" s="27" t="s">
        <v>38</v>
      </c>
      <c r="D2305" s="27" t="s">
        <v>22</v>
      </c>
      <c r="E2305" s="27" t="s">
        <v>56</v>
      </c>
      <c r="F2305" s="28" t="n">
        <v>5925</v>
      </c>
      <c r="G2305" s="29" t="n">
        <v>2780</v>
      </c>
      <c r="H2305" s="29" t="n">
        <f aca="false">F2305*G2305</f>
        <v>16471500</v>
      </c>
    </row>
    <row r="2306" customFormat="false" ht="15" hidden="false" customHeight="false" outlineLevel="0" collapsed="false">
      <c r="A2306" s="27" t="n">
        <v>2025</v>
      </c>
      <c r="B2306" s="27" t="n">
        <v>12</v>
      </c>
      <c r="C2306" s="27" t="s">
        <v>38</v>
      </c>
      <c r="D2306" s="27" t="s">
        <v>22</v>
      </c>
      <c r="E2306" s="27" t="s">
        <v>58</v>
      </c>
      <c r="F2306" s="28" t="n">
        <v>4037</v>
      </c>
      <c r="G2306" s="29" t="n">
        <v>2730</v>
      </c>
      <c r="H2306" s="29" t="n">
        <f aca="false">F2306*G2306</f>
        <v>11021010</v>
      </c>
    </row>
    <row r="2307" customFormat="false" ht="15" hidden="false" customHeight="false" outlineLevel="0" collapsed="false">
      <c r="A2307" s="27" t="n">
        <v>2025</v>
      </c>
      <c r="B2307" s="27" t="n">
        <v>12</v>
      </c>
      <c r="C2307" s="27" t="s">
        <v>38</v>
      </c>
      <c r="D2307" s="27" t="s">
        <v>24</v>
      </c>
      <c r="E2307" s="27" t="s">
        <v>50</v>
      </c>
      <c r="F2307" s="28" t="n">
        <v>6130</v>
      </c>
      <c r="G2307" s="29" t="n">
        <v>2600</v>
      </c>
      <c r="H2307" s="29" t="n">
        <f aca="false">F2307*G2307</f>
        <v>15938000</v>
      </c>
    </row>
    <row r="2308" customFormat="false" ht="15" hidden="false" customHeight="false" outlineLevel="0" collapsed="false">
      <c r="A2308" s="27" t="n">
        <v>2025</v>
      </c>
      <c r="B2308" s="27" t="n">
        <v>12</v>
      </c>
      <c r="C2308" s="27" t="s">
        <v>38</v>
      </c>
      <c r="D2308" s="27" t="s">
        <v>24</v>
      </c>
      <c r="E2308" s="27" t="s">
        <v>52</v>
      </c>
      <c r="F2308" s="28" t="n">
        <v>3732</v>
      </c>
      <c r="G2308" s="29" t="n">
        <v>2530</v>
      </c>
      <c r="H2308" s="29" t="n">
        <f aca="false">F2308*G2308</f>
        <v>9441960</v>
      </c>
    </row>
    <row r="2309" customFormat="false" ht="15" hidden="false" customHeight="false" outlineLevel="0" collapsed="false">
      <c r="A2309" s="27" t="n">
        <v>2025</v>
      </c>
      <c r="B2309" s="27" t="n">
        <v>12</v>
      </c>
      <c r="C2309" s="27" t="s">
        <v>38</v>
      </c>
      <c r="D2309" s="27" t="s">
        <v>24</v>
      </c>
      <c r="E2309" s="27" t="s">
        <v>54</v>
      </c>
      <c r="F2309" s="28" t="n">
        <v>2966</v>
      </c>
      <c r="G2309" s="29" t="n">
        <v>2590</v>
      </c>
      <c r="H2309" s="29" t="n">
        <f aca="false">F2309*G2309</f>
        <v>7681940</v>
      </c>
    </row>
    <row r="2310" customFormat="false" ht="15" hidden="false" customHeight="false" outlineLevel="0" collapsed="false">
      <c r="A2310" s="27" t="n">
        <v>2025</v>
      </c>
      <c r="B2310" s="27" t="n">
        <v>12</v>
      </c>
      <c r="C2310" s="27" t="s">
        <v>38</v>
      </c>
      <c r="D2310" s="27" t="s">
        <v>24</v>
      </c>
      <c r="E2310" s="27" t="s">
        <v>56</v>
      </c>
      <c r="F2310" s="28" t="n">
        <v>3113</v>
      </c>
      <c r="G2310" s="29" t="n">
        <v>2530</v>
      </c>
      <c r="H2310" s="29" t="n">
        <f aca="false">F2310*G2310</f>
        <v>7875890</v>
      </c>
    </row>
    <row r="2311" customFormat="false" ht="15" hidden="false" customHeight="false" outlineLevel="0" collapsed="false">
      <c r="A2311" s="27" t="n">
        <v>2025</v>
      </c>
      <c r="B2311" s="27" t="n">
        <v>12</v>
      </c>
      <c r="C2311" s="27" t="s">
        <v>38</v>
      </c>
      <c r="D2311" s="27" t="s">
        <v>24</v>
      </c>
      <c r="E2311" s="27" t="s">
        <v>58</v>
      </c>
      <c r="F2311" s="28" t="n">
        <v>2817</v>
      </c>
      <c r="G2311" s="29" t="n">
        <v>2570</v>
      </c>
      <c r="H2311" s="29" t="n">
        <f aca="false">F2311*G2311</f>
        <v>7239690</v>
      </c>
    </row>
    <row r="2312" customFormat="false" ht="15" hidden="false" customHeight="false" outlineLevel="0" collapsed="false">
      <c r="A2312" s="27" t="n">
        <v>2025</v>
      </c>
      <c r="B2312" s="27" t="n">
        <v>12</v>
      </c>
      <c r="C2312" s="27" t="s">
        <v>38</v>
      </c>
      <c r="D2312" s="27" t="s">
        <v>26</v>
      </c>
      <c r="E2312" s="27" t="s">
        <v>50</v>
      </c>
      <c r="F2312" s="28" t="n">
        <v>2935</v>
      </c>
      <c r="G2312" s="29" t="n">
        <v>3070</v>
      </c>
      <c r="H2312" s="29" t="n">
        <f aca="false">F2312*G2312</f>
        <v>9010450</v>
      </c>
    </row>
    <row r="2313" customFormat="false" ht="15" hidden="false" customHeight="false" outlineLevel="0" collapsed="false">
      <c r="A2313" s="27" t="n">
        <v>2025</v>
      </c>
      <c r="B2313" s="27" t="n">
        <v>12</v>
      </c>
      <c r="C2313" s="27" t="s">
        <v>38</v>
      </c>
      <c r="D2313" s="27" t="s">
        <v>26</v>
      </c>
      <c r="E2313" s="27" t="s">
        <v>52</v>
      </c>
      <c r="F2313" s="28" t="n">
        <v>1948</v>
      </c>
      <c r="G2313" s="29" t="n">
        <v>3100</v>
      </c>
      <c r="H2313" s="29" t="n">
        <f aca="false">F2313*G2313</f>
        <v>6038800</v>
      </c>
    </row>
    <row r="2314" customFormat="false" ht="15" hidden="false" customHeight="false" outlineLevel="0" collapsed="false">
      <c r="A2314" s="27" t="n">
        <v>2025</v>
      </c>
      <c r="B2314" s="27" t="n">
        <v>12</v>
      </c>
      <c r="C2314" s="27" t="s">
        <v>38</v>
      </c>
      <c r="D2314" s="27" t="s">
        <v>26</v>
      </c>
      <c r="E2314" s="27" t="s">
        <v>54</v>
      </c>
      <c r="F2314" s="28" t="n">
        <v>1696</v>
      </c>
      <c r="G2314" s="29" t="n">
        <v>3080</v>
      </c>
      <c r="H2314" s="29" t="n">
        <f aca="false">F2314*G2314</f>
        <v>5223680</v>
      </c>
    </row>
    <row r="2315" customFormat="false" ht="15" hidden="false" customHeight="false" outlineLevel="0" collapsed="false">
      <c r="A2315" s="27" t="n">
        <v>2025</v>
      </c>
      <c r="B2315" s="27" t="n">
        <v>12</v>
      </c>
      <c r="C2315" s="27" t="s">
        <v>38</v>
      </c>
      <c r="D2315" s="27" t="s">
        <v>26</v>
      </c>
      <c r="E2315" s="27" t="s">
        <v>56</v>
      </c>
      <c r="F2315" s="28" t="n">
        <v>1795</v>
      </c>
      <c r="G2315" s="29" t="n">
        <v>3100</v>
      </c>
      <c r="H2315" s="29" t="n">
        <f aca="false">F2315*G2315</f>
        <v>5564500</v>
      </c>
    </row>
    <row r="2316" customFormat="false" ht="15" hidden="false" customHeight="false" outlineLevel="0" collapsed="false">
      <c r="A2316" s="27" t="n">
        <v>2025</v>
      </c>
      <c r="B2316" s="27" t="n">
        <v>12</v>
      </c>
      <c r="C2316" s="27" t="s">
        <v>38</v>
      </c>
      <c r="D2316" s="27" t="s">
        <v>26</v>
      </c>
      <c r="E2316" s="27" t="s">
        <v>58</v>
      </c>
      <c r="F2316" s="28" t="n">
        <v>1218</v>
      </c>
      <c r="G2316" s="29" t="n">
        <v>3040</v>
      </c>
      <c r="H2316" s="29" t="n">
        <f aca="false">F2316*G2316</f>
        <v>3702720</v>
      </c>
    </row>
    <row r="2317" customFormat="false" ht="15" hidden="false" customHeight="false" outlineLevel="0" collapsed="false">
      <c r="A2317" s="27" t="n">
        <v>2025</v>
      </c>
      <c r="B2317" s="27" t="n">
        <v>12</v>
      </c>
      <c r="C2317" s="27" t="s">
        <v>38</v>
      </c>
      <c r="D2317" s="27" t="s">
        <v>28</v>
      </c>
      <c r="E2317" s="27" t="s">
        <v>50</v>
      </c>
      <c r="F2317" s="28" t="n">
        <v>1337</v>
      </c>
      <c r="G2317" s="29" t="n">
        <v>2840</v>
      </c>
      <c r="H2317" s="29" t="n">
        <f aca="false">F2317*G2317</f>
        <v>3797080</v>
      </c>
    </row>
    <row r="2318" customFormat="false" ht="15" hidden="false" customHeight="false" outlineLevel="0" collapsed="false">
      <c r="A2318" s="27" t="n">
        <v>2025</v>
      </c>
      <c r="B2318" s="27" t="n">
        <v>12</v>
      </c>
      <c r="C2318" s="27" t="s">
        <v>38</v>
      </c>
      <c r="D2318" s="27" t="s">
        <v>28</v>
      </c>
      <c r="E2318" s="27" t="s">
        <v>52</v>
      </c>
      <c r="F2318" s="28" t="n">
        <v>875</v>
      </c>
      <c r="G2318" s="29" t="n">
        <v>2850</v>
      </c>
      <c r="H2318" s="29" t="n">
        <f aca="false">F2318*G2318</f>
        <v>2493750</v>
      </c>
    </row>
    <row r="2319" customFormat="false" ht="15" hidden="false" customHeight="false" outlineLevel="0" collapsed="false">
      <c r="A2319" s="27" t="n">
        <v>2025</v>
      </c>
      <c r="B2319" s="27" t="n">
        <v>12</v>
      </c>
      <c r="C2319" s="27" t="s">
        <v>38</v>
      </c>
      <c r="D2319" s="27" t="s">
        <v>28</v>
      </c>
      <c r="E2319" s="27" t="s">
        <v>54</v>
      </c>
      <c r="F2319" s="28" t="n">
        <v>745</v>
      </c>
      <c r="G2319" s="29" t="n">
        <v>2850</v>
      </c>
      <c r="H2319" s="29" t="n">
        <f aca="false">F2319*G2319</f>
        <v>2123250</v>
      </c>
    </row>
    <row r="2320" customFormat="false" ht="15" hidden="false" customHeight="false" outlineLevel="0" collapsed="false">
      <c r="A2320" s="27" t="n">
        <v>2025</v>
      </c>
      <c r="B2320" s="27" t="n">
        <v>12</v>
      </c>
      <c r="C2320" s="27" t="s">
        <v>38</v>
      </c>
      <c r="D2320" s="27" t="s">
        <v>28</v>
      </c>
      <c r="E2320" s="27" t="s">
        <v>56</v>
      </c>
      <c r="F2320" s="28" t="n">
        <v>734</v>
      </c>
      <c r="G2320" s="29" t="n">
        <v>2850</v>
      </c>
      <c r="H2320" s="29" t="n">
        <f aca="false">F2320*G2320</f>
        <v>2091900</v>
      </c>
    </row>
    <row r="2321" customFormat="false" ht="15" hidden="false" customHeight="false" outlineLevel="0" collapsed="false">
      <c r="A2321" s="27" t="n">
        <v>2025</v>
      </c>
      <c r="B2321" s="27" t="n">
        <v>12</v>
      </c>
      <c r="C2321" s="27" t="s">
        <v>38</v>
      </c>
      <c r="D2321" s="27" t="s">
        <v>28</v>
      </c>
      <c r="E2321" s="27" t="s">
        <v>58</v>
      </c>
      <c r="F2321" s="28" t="n">
        <v>582</v>
      </c>
      <c r="G2321" s="29" t="n">
        <v>2860</v>
      </c>
      <c r="H2321" s="29" t="n">
        <f aca="false">F2321*G2321</f>
        <v>1664520</v>
      </c>
    </row>
    <row r="2322" customFormat="false" ht="15" hidden="false" customHeight="false" outlineLevel="0" collapsed="false">
      <c r="A2322" s="27" t="n">
        <v>2025</v>
      </c>
      <c r="B2322" s="27" t="n">
        <v>12</v>
      </c>
      <c r="C2322" s="27" t="s">
        <v>40</v>
      </c>
      <c r="D2322" s="27" t="s">
        <v>22</v>
      </c>
      <c r="E2322" s="27" t="s">
        <v>50</v>
      </c>
      <c r="F2322" s="28" t="n">
        <v>5789</v>
      </c>
      <c r="G2322" s="29" t="n">
        <v>2410</v>
      </c>
      <c r="H2322" s="29" t="n">
        <f aca="false">F2322*G2322</f>
        <v>13951490</v>
      </c>
    </row>
    <row r="2323" customFormat="false" ht="15" hidden="false" customHeight="false" outlineLevel="0" collapsed="false">
      <c r="A2323" s="27" t="n">
        <v>2025</v>
      </c>
      <c r="B2323" s="27" t="n">
        <v>12</v>
      </c>
      <c r="C2323" s="27" t="s">
        <v>40</v>
      </c>
      <c r="D2323" s="27" t="s">
        <v>22</v>
      </c>
      <c r="E2323" s="27" t="s">
        <v>52</v>
      </c>
      <c r="F2323" s="28" t="n">
        <v>3511</v>
      </c>
      <c r="G2323" s="29" t="n">
        <v>2430</v>
      </c>
      <c r="H2323" s="29" t="n">
        <f aca="false">F2323*G2323</f>
        <v>8531730</v>
      </c>
    </row>
    <row r="2324" customFormat="false" ht="15" hidden="false" customHeight="false" outlineLevel="0" collapsed="false">
      <c r="A2324" s="27" t="n">
        <v>2025</v>
      </c>
      <c r="B2324" s="27" t="n">
        <v>12</v>
      </c>
      <c r="C2324" s="27" t="s">
        <v>40</v>
      </c>
      <c r="D2324" s="27" t="s">
        <v>22</v>
      </c>
      <c r="E2324" s="27" t="s">
        <v>54</v>
      </c>
      <c r="F2324" s="28" t="n">
        <v>2684</v>
      </c>
      <c r="G2324" s="29" t="n">
        <v>2410</v>
      </c>
      <c r="H2324" s="29" t="n">
        <f aca="false">F2324*G2324</f>
        <v>6468440</v>
      </c>
    </row>
    <row r="2325" customFormat="false" ht="15" hidden="false" customHeight="false" outlineLevel="0" collapsed="false">
      <c r="A2325" s="27" t="n">
        <v>2025</v>
      </c>
      <c r="B2325" s="27" t="n">
        <v>12</v>
      </c>
      <c r="C2325" s="27" t="s">
        <v>40</v>
      </c>
      <c r="D2325" s="27" t="s">
        <v>22</v>
      </c>
      <c r="E2325" s="27" t="s">
        <v>56</v>
      </c>
      <c r="F2325" s="28" t="n">
        <v>3185</v>
      </c>
      <c r="G2325" s="29" t="n">
        <v>2410</v>
      </c>
      <c r="H2325" s="29" t="n">
        <f aca="false">F2325*G2325</f>
        <v>7675850</v>
      </c>
    </row>
    <row r="2326" customFormat="false" ht="15" hidden="false" customHeight="false" outlineLevel="0" collapsed="false">
      <c r="A2326" s="27" t="n">
        <v>2025</v>
      </c>
      <c r="B2326" s="27" t="n">
        <v>12</v>
      </c>
      <c r="C2326" s="27" t="s">
        <v>40</v>
      </c>
      <c r="D2326" s="27" t="s">
        <v>22</v>
      </c>
      <c r="E2326" s="27" t="s">
        <v>58</v>
      </c>
      <c r="F2326" s="28" t="n">
        <v>2204</v>
      </c>
      <c r="G2326" s="29" t="n">
        <v>2420</v>
      </c>
      <c r="H2326" s="29" t="n">
        <f aca="false">F2326*G2326</f>
        <v>5333680</v>
      </c>
    </row>
    <row r="2327" customFormat="false" ht="15" hidden="false" customHeight="false" outlineLevel="0" collapsed="false">
      <c r="A2327" s="27" t="n">
        <v>2025</v>
      </c>
      <c r="B2327" s="27" t="n">
        <v>12</v>
      </c>
      <c r="C2327" s="27" t="s">
        <v>40</v>
      </c>
      <c r="D2327" s="27" t="s">
        <v>24</v>
      </c>
      <c r="E2327" s="27" t="s">
        <v>50</v>
      </c>
      <c r="F2327" s="28" t="n">
        <v>2968</v>
      </c>
      <c r="G2327" s="29" t="n">
        <v>2280</v>
      </c>
      <c r="H2327" s="29" t="n">
        <f aca="false">F2327*G2327</f>
        <v>6767040</v>
      </c>
    </row>
    <row r="2328" customFormat="false" ht="15" hidden="false" customHeight="false" outlineLevel="0" collapsed="false">
      <c r="A2328" s="27" t="n">
        <v>2025</v>
      </c>
      <c r="B2328" s="27" t="n">
        <v>12</v>
      </c>
      <c r="C2328" s="27" t="s">
        <v>40</v>
      </c>
      <c r="D2328" s="27" t="s">
        <v>24</v>
      </c>
      <c r="E2328" s="27" t="s">
        <v>52</v>
      </c>
      <c r="F2328" s="28" t="n">
        <v>1988</v>
      </c>
      <c r="G2328" s="29" t="n">
        <v>2250</v>
      </c>
      <c r="H2328" s="29" t="n">
        <f aca="false">F2328*G2328</f>
        <v>4473000</v>
      </c>
    </row>
    <row r="2329" customFormat="false" ht="15" hidden="false" customHeight="false" outlineLevel="0" collapsed="false">
      <c r="A2329" s="27" t="n">
        <v>2025</v>
      </c>
      <c r="B2329" s="27" t="n">
        <v>12</v>
      </c>
      <c r="C2329" s="27" t="s">
        <v>40</v>
      </c>
      <c r="D2329" s="27" t="s">
        <v>24</v>
      </c>
      <c r="E2329" s="27" t="s">
        <v>54</v>
      </c>
      <c r="F2329" s="28" t="n">
        <v>1569</v>
      </c>
      <c r="G2329" s="29" t="n">
        <v>2250</v>
      </c>
      <c r="H2329" s="29" t="n">
        <f aca="false">F2329*G2329</f>
        <v>3530250</v>
      </c>
    </row>
    <row r="2330" customFormat="false" ht="15" hidden="false" customHeight="false" outlineLevel="0" collapsed="false">
      <c r="A2330" s="27" t="n">
        <v>2025</v>
      </c>
      <c r="B2330" s="27" t="n">
        <v>12</v>
      </c>
      <c r="C2330" s="27" t="s">
        <v>40</v>
      </c>
      <c r="D2330" s="27" t="s">
        <v>24</v>
      </c>
      <c r="E2330" s="27" t="s">
        <v>56</v>
      </c>
      <c r="F2330" s="28" t="n">
        <v>1769</v>
      </c>
      <c r="G2330" s="29" t="n">
        <v>2260</v>
      </c>
      <c r="H2330" s="29" t="n">
        <f aca="false">F2330*G2330</f>
        <v>3997940</v>
      </c>
    </row>
    <row r="2331" customFormat="false" ht="15" hidden="false" customHeight="false" outlineLevel="0" collapsed="false">
      <c r="A2331" s="27" t="n">
        <v>2025</v>
      </c>
      <c r="B2331" s="27" t="n">
        <v>12</v>
      </c>
      <c r="C2331" s="27" t="s">
        <v>40</v>
      </c>
      <c r="D2331" s="27" t="s">
        <v>24</v>
      </c>
      <c r="E2331" s="27" t="s">
        <v>58</v>
      </c>
      <c r="F2331" s="28" t="n">
        <v>1226</v>
      </c>
      <c r="G2331" s="29" t="n">
        <v>2240</v>
      </c>
      <c r="H2331" s="29" t="n">
        <f aca="false">F2331*G2331</f>
        <v>2746240</v>
      </c>
    </row>
    <row r="2332" customFormat="false" ht="15" hidden="false" customHeight="false" outlineLevel="0" collapsed="false">
      <c r="A2332" s="27" t="n">
        <v>2025</v>
      </c>
      <c r="B2332" s="27" t="n">
        <v>12</v>
      </c>
      <c r="C2332" s="27" t="s">
        <v>40</v>
      </c>
      <c r="D2332" s="27" t="s">
        <v>26</v>
      </c>
      <c r="E2332" s="27" t="s">
        <v>50</v>
      </c>
      <c r="F2332" s="28" t="n">
        <v>1458</v>
      </c>
      <c r="G2332" s="29" t="n">
        <v>2710</v>
      </c>
      <c r="H2332" s="29" t="n">
        <f aca="false">F2332*G2332</f>
        <v>3951180</v>
      </c>
    </row>
    <row r="2333" customFormat="false" ht="15" hidden="false" customHeight="false" outlineLevel="0" collapsed="false">
      <c r="A2333" s="27" t="n">
        <v>2025</v>
      </c>
      <c r="B2333" s="27" t="n">
        <v>12</v>
      </c>
      <c r="C2333" s="27" t="s">
        <v>40</v>
      </c>
      <c r="D2333" s="27" t="s">
        <v>26</v>
      </c>
      <c r="E2333" s="27" t="s">
        <v>52</v>
      </c>
      <c r="F2333" s="28" t="n">
        <v>1020</v>
      </c>
      <c r="G2333" s="29" t="n">
        <v>2700</v>
      </c>
      <c r="H2333" s="29" t="n">
        <f aca="false">F2333*G2333</f>
        <v>2754000</v>
      </c>
    </row>
    <row r="2334" customFormat="false" ht="15" hidden="false" customHeight="false" outlineLevel="0" collapsed="false">
      <c r="A2334" s="27" t="n">
        <v>2025</v>
      </c>
      <c r="B2334" s="27" t="n">
        <v>12</v>
      </c>
      <c r="C2334" s="27" t="s">
        <v>40</v>
      </c>
      <c r="D2334" s="27" t="s">
        <v>26</v>
      </c>
      <c r="E2334" s="27" t="s">
        <v>54</v>
      </c>
      <c r="F2334" s="28" t="n">
        <v>893</v>
      </c>
      <c r="G2334" s="29" t="n">
        <v>2740</v>
      </c>
      <c r="H2334" s="29" t="n">
        <f aca="false">F2334*G2334</f>
        <v>2446820</v>
      </c>
    </row>
    <row r="2335" customFormat="false" ht="15" hidden="false" customHeight="false" outlineLevel="0" collapsed="false">
      <c r="A2335" s="27" t="n">
        <v>2025</v>
      </c>
      <c r="B2335" s="27" t="n">
        <v>12</v>
      </c>
      <c r="C2335" s="27" t="s">
        <v>40</v>
      </c>
      <c r="D2335" s="27" t="s">
        <v>26</v>
      </c>
      <c r="E2335" s="27" t="s">
        <v>56</v>
      </c>
      <c r="F2335" s="28" t="n">
        <v>1003</v>
      </c>
      <c r="G2335" s="29" t="n">
        <v>2740</v>
      </c>
      <c r="H2335" s="29" t="n">
        <f aca="false">F2335*G2335</f>
        <v>2748220</v>
      </c>
    </row>
    <row r="2336" customFormat="false" ht="15" hidden="false" customHeight="false" outlineLevel="0" collapsed="false">
      <c r="A2336" s="27" t="n">
        <v>2025</v>
      </c>
      <c r="B2336" s="27" t="n">
        <v>12</v>
      </c>
      <c r="C2336" s="27" t="s">
        <v>40</v>
      </c>
      <c r="D2336" s="27" t="s">
        <v>26</v>
      </c>
      <c r="E2336" s="27" t="s">
        <v>58</v>
      </c>
      <c r="F2336" s="28" t="n">
        <v>704</v>
      </c>
      <c r="G2336" s="29" t="n">
        <v>2700</v>
      </c>
      <c r="H2336" s="29" t="n">
        <f aca="false">F2336*G2336</f>
        <v>1900800</v>
      </c>
    </row>
    <row r="2337" customFormat="false" ht="15" hidden="false" customHeight="false" outlineLevel="0" collapsed="false">
      <c r="A2337" s="27" t="n">
        <v>2025</v>
      </c>
      <c r="B2337" s="27" t="n">
        <v>12</v>
      </c>
      <c r="C2337" s="27" t="s">
        <v>40</v>
      </c>
      <c r="D2337" s="27" t="s">
        <v>28</v>
      </c>
      <c r="E2337" s="27" t="s">
        <v>50</v>
      </c>
      <c r="F2337" s="28" t="n">
        <v>653</v>
      </c>
      <c r="G2337" s="29" t="n">
        <v>2540</v>
      </c>
      <c r="H2337" s="29" t="n">
        <f aca="false">F2337*G2337</f>
        <v>1658620</v>
      </c>
    </row>
    <row r="2338" customFormat="false" ht="15" hidden="false" customHeight="false" outlineLevel="0" collapsed="false">
      <c r="A2338" s="27" t="n">
        <v>2025</v>
      </c>
      <c r="B2338" s="27" t="n">
        <v>12</v>
      </c>
      <c r="C2338" s="27" t="s">
        <v>40</v>
      </c>
      <c r="D2338" s="27" t="s">
        <v>28</v>
      </c>
      <c r="E2338" s="27" t="s">
        <v>52</v>
      </c>
      <c r="F2338" s="28" t="n">
        <v>481</v>
      </c>
      <c r="G2338" s="29" t="n">
        <v>2550</v>
      </c>
      <c r="H2338" s="29" t="n">
        <f aca="false">F2338*G2338</f>
        <v>1226550</v>
      </c>
    </row>
    <row r="2339" customFormat="false" ht="15" hidden="false" customHeight="false" outlineLevel="0" collapsed="false">
      <c r="A2339" s="27" t="n">
        <v>2025</v>
      </c>
      <c r="B2339" s="27" t="n">
        <v>12</v>
      </c>
      <c r="C2339" s="27" t="s">
        <v>40</v>
      </c>
      <c r="D2339" s="27" t="s">
        <v>28</v>
      </c>
      <c r="E2339" s="27" t="s">
        <v>54</v>
      </c>
      <c r="F2339" s="28" t="n">
        <v>380</v>
      </c>
      <c r="G2339" s="29" t="n">
        <v>2580</v>
      </c>
      <c r="H2339" s="29" t="n">
        <f aca="false">F2339*G2339</f>
        <v>980400</v>
      </c>
    </row>
    <row r="2340" customFormat="false" ht="15" hidden="false" customHeight="false" outlineLevel="0" collapsed="false">
      <c r="A2340" s="27" t="n">
        <v>2025</v>
      </c>
      <c r="B2340" s="27" t="n">
        <v>12</v>
      </c>
      <c r="C2340" s="27" t="s">
        <v>40</v>
      </c>
      <c r="D2340" s="27" t="s">
        <v>28</v>
      </c>
      <c r="E2340" s="27" t="s">
        <v>56</v>
      </c>
      <c r="F2340" s="28" t="n">
        <v>453</v>
      </c>
      <c r="G2340" s="29" t="n">
        <v>2570</v>
      </c>
      <c r="H2340" s="29" t="n">
        <f aca="false">F2340*G2340</f>
        <v>1164210</v>
      </c>
    </row>
    <row r="2341" customFormat="false" ht="15" hidden="false" customHeight="false" outlineLevel="0" collapsed="false">
      <c r="A2341" s="27" t="n">
        <v>2025</v>
      </c>
      <c r="B2341" s="27" t="n">
        <v>12</v>
      </c>
      <c r="C2341" s="27" t="s">
        <v>40</v>
      </c>
      <c r="D2341" s="27" t="s">
        <v>28</v>
      </c>
      <c r="E2341" s="27" t="s">
        <v>58</v>
      </c>
      <c r="F2341" s="28" t="n">
        <v>290</v>
      </c>
      <c r="G2341" s="29" t="n">
        <v>2520</v>
      </c>
      <c r="H2341" s="29" t="n">
        <f aca="false">F2341*G2341</f>
        <v>730800</v>
      </c>
    </row>
    <row r="2342" customFormat="false" ht="15" hidden="false" customHeight="false" outlineLevel="0" collapsed="false">
      <c r="A2342" s="27" t="n">
        <v>2025</v>
      </c>
      <c r="B2342" s="27" t="n">
        <v>12</v>
      </c>
      <c r="C2342" s="27" t="s">
        <v>42</v>
      </c>
      <c r="D2342" s="27" t="s">
        <v>22</v>
      </c>
      <c r="E2342" s="27" t="s">
        <v>50</v>
      </c>
      <c r="F2342" s="28" t="n">
        <v>6447</v>
      </c>
      <c r="G2342" s="29" t="n">
        <v>2220</v>
      </c>
      <c r="H2342" s="29" t="n">
        <f aca="false">F2342*G2342</f>
        <v>14312340</v>
      </c>
    </row>
    <row r="2343" customFormat="false" ht="15" hidden="false" customHeight="false" outlineLevel="0" collapsed="false">
      <c r="A2343" s="27" t="n">
        <v>2025</v>
      </c>
      <c r="B2343" s="27" t="n">
        <v>12</v>
      </c>
      <c r="C2343" s="27" t="s">
        <v>42</v>
      </c>
      <c r="D2343" s="27" t="s">
        <v>22</v>
      </c>
      <c r="E2343" s="27" t="s">
        <v>52</v>
      </c>
      <c r="F2343" s="28" t="n">
        <v>3612</v>
      </c>
      <c r="G2343" s="29" t="n">
        <v>2200</v>
      </c>
      <c r="H2343" s="29" t="n">
        <f aca="false">F2343*G2343</f>
        <v>7946400</v>
      </c>
    </row>
    <row r="2344" customFormat="false" ht="15" hidden="false" customHeight="false" outlineLevel="0" collapsed="false">
      <c r="A2344" s="27" t="n">
        <v>2025</v>
      </c>
      <c r="B2344" s="27" t="n">
        <v>12</v>
      </c>
      <c r="C2344" s="27" t="s">
        <v>42</v>
      </c>
      <c r="D2344" s="27" t="s">
        <v>22</v>
      </c>
      <c r="E2344" s="27" t="s">
        <v>54</v>
      </c>
      <c r="F2344" s="28" t="n">
        <v>2886</v>
      </c>
      <c r="G2344" s="29" t="n">
        <v>2200</v>
      </c>
      <c r="H2344" s="29" t="n">
        <f aca="false">F2344*G2344</f>
        <v>6349200</v>
      </c>
    </row>
    <row r="2345" customFormat="false" ht="15" hidden="false" customHeight="false" outlineLevel="0" collapsed="false">
      <c r="A2345" s="27" t="n">
        <v>2025</v>
      </c>
      <c r="B2345" s="27" t="n">
        <v>12</v>
      </c>
      <c r="C2345" s="27" t="s">
        <v>42</v>
      </c>
      <c r="D2345" s="27" t="s">
        <v>22</v>
      </c>
      <c r="E2345" s="27" t="s">
        <v>56</v>
      </c>
      <c r="F2345" s="28" t="n">
        <v>3315</v>
      </c>
      <c r="G2345" s="29" t="n">
        <v>2180</v>
      </c>
      <c r="H2345" s="29" t="n">
        <f aca="false">F2345*G2345</f>
        <v>7226700</v>
      </c>
    </row>
    <row r="2346" customFormat="false" ht="15" hidden="false" customHeight="false" outlineLevel="0" collapsed="false">
      <c r="A2346" s="27" t="n">
        <v>2025</v>
      </c>
      <c r="B2346" s="27" t="n">
        <v>12</v>
      </c>
      <c r="C2346" s="27" t="s">
        <v>42</v>
      </c>
      <c r="D2346" s="27" t="s">
        <v>22</v>
      </c>
      <c r="E2346" s="27" t="s">
        <v>58</v>
      </c>
      <c r="F2346" s="28" t="n">
        <v>2400</v>
      </c>
      <c r="G2346" s="29" t="n">
        <v>2200</v>
      </c>
      <c r="H2346" s="29" t="n">
        <f aca="false">F2346*G2346</f>
        <v>5280000</v>
      </c>
    </row>
    <row r="2347" customFormat="false" ht="15" hidden="false" customHeight="false" outlineLevel="0" collapsed="false">
      <c r="A2347" s="27" t="n">
        <v>2025</v>
      </c>
      <c r="B2347" s="27" t="n">
        <v>12</v>
      </c>
      <c r="C2347" s="27" t="s">
        <v>42</v>
      </c>
      <c r="D2347" s="27" t="s">
        <v>24</v>
      </c>
      <c r="E2347" s="27" t="s">
        <v>50</v>
      </c>
      <c r="F2347" s="28" t="n">
        <v>3645</v>
      </c>
      <c r="G2347" s="29" t="n">
        <v>2070</v>
      </c>
      <c r="H2347" s="29" t="n">
        <f aca="false">F2347*G2347</f>
        <v>7545150</v>
      </c>
    </row>
    <row r="2348" customFormat="false" ht="15" hidden="false" customHeight="false" outlineLevel="0" collapsed="false">
      <c r="A2348" s="27" t="n">
        <v>2025</v>
      </c>
      <c r="B2348" s="27" t="n">
        <v>12</v>
      </c>
      <c r="C2348" s="27" t="s">
        <v>42</v>
      </c>
      <c r="D2348" s="27" t="s">
        <v>24</v>
      </c>
      <c r="E2348" s="27" t="s">
        <v>52</v>
      </c>
      <c r="F2348" s="28" t="n">
        <v>2187</v>
      </c>
      <c r="G2348" s="29" t="n">
        <v>2050</v>
      </c>
      <c r="H2348" s="29" t="n">
        <f aca="false">F2348*G2348</f>
        <v>4483350</v>
      </c>
    </row>
    <row r="2349" customFormat="false" ht="15" hidden="false" customHeight="false" outlineLevel="0" collapsed="false">
      <c r="A2349" s="27" t="n">
        <v>2025</v>
      </c>
      <c r="B2349" s="27" t="n">
        <v>12</v>
      </c>
      <c r="C2349" s="27" t="s">
        <v>42</v>
      </c>
      <c r="D2349" s="27" t="s">
        <v>24</v>
      </c>
      <c r="E2349" s="27" t="s">
        <v>54</v>
      </c>
      <c r="F2349" s="28" t="n">
        <v>1717</v>
      </c>
      <c r="G2349" s="29" t="n">
        <v>2070</v>
      </c>
      <c r="H2349" s="29" t="n">
        <f aca="false">F2349*G2349</f>
        <v>3554190</v>
      </c>
    </row>
    <row r="2350" customFormat="false" ht="15" hidden="false" customHeight="false" outlineLevel="0" collapsed="false">
      <c r="A2350" s="27" t="n">
        <v>2025</v>
      </c>
      <c r="B2350" s="27" t="n">
        <v>12</v>
      </c>
      <c r="C2350" s="27" t="s">
        <v>42</v>
      </c>
      <c r="D2350" s="27" t="s">
        <v>24</v>
      </c>
      <c r="E2350" s="27" t="s">
        <v>56</v>
      </c>
      <c r="F2350" s="28" t="n">
        <v>2124</v>
      </c>
      <c r="G2350" s="29" t="n">
        <v>2060</v>
      </c>
      <c r="H2350" s="29" t="n">
        <f aca="false">F2350*G2350</f>
        <v>4375440</v>
      </c>
    </row>
    <row r="2351" customFormat="false" ht="15" hidden="false" customHeight="false" outlineLevel="0" collapsed="false">
      <c r="A2351" s="27" t="n">
        <v>2025</v>
      </c>
      <c r="B2351" s="27" t="n">
        <v>12</v>
      </c>
      <c r="C2351" s="27" t="s">
        <v>42</v>
      </c>
      <c r="D2351" s="27" t="s">
        <v>24</v>
      </c>
      <c r="E2351" s="27" t="s">
        <v>58</v>
      </c>
      <c r="F2351" s="28" t="n">
        <v>1479</v>
      </c>
      <c r="G2351" s="29" t="n">
        <v>2060</v>
      </c>
      <c r="H2351" s="29" t="n">
        <f aca="false">F2351*G2351</f>
        <v>3046740</v>
      </c>
    </row>
    <row r="2352" customFormat="false" ht="15" hidden="false" customHeight="false" outlineLevel="0" collapsed="false">
      <c r="A2352" s="27" t="n">
        <v>2025</v>
      </c>
      <c r="B2352" s="27" t="n">
        <v>12</v>
      </c>
      <c r="C2352" s="27" t="s">
        <v>42</v>
      </c>
      <c r="D2352" s="27" t="s">
        <v>26</v>
      </c>
      <c r="E2352" s="27" t="s">
        <v>50</v>
      </c>
      <c r="F2352" s="28" t="n">
        <v>1829</v>
      </c>
      <c r="G2352" s="29" t="n">
        <v>2470</v>
      </c>
      <c r="H2352" s="29" t="n">
        <f aca="false">F2352*G2352</f>
        <v>4517630</v>
      </c>
    </row>
    <row r="2353" customFormat="false" ht="15" hidden="false" customHeight="false" outlineLevel="0" collapsed="false">
      <c r="A2353" s="27" t="n">
        <v>2025</v>
      </c>
      <c r="B2353" s="27" t="n">
        <v>12</v>
      </c>
      <c r="C2353" s="27" t="s">
        <v>42</v>
      </c>
      <c r="D2353" s="27" t="s">
        <v>26</v>
      </c>
      <c r="E2353" s="27" t="s">
        <v>52</v>
      </c>
      <c r="F2353" s="28" t="n">
        <v>1000</v>
      </c>
      <c r="G2353" s="29" t="n">
        <v>2490</v>
      </c>
      <c r="H2353" s="29" t="n">
        <f aca="false">F2353*G2353</f>
        <v>2490000</v>
      </c>
    </row>
    <row r="2354" customFormat="false" ht="15" hidden="false" customHeight="false" outlineLevel="0" collapsed="false">
      <c r="A2354" s="27" t="n">
        <v>2025</v>
      </c>
      <c r="B2354" s="27" t="n">
        <v>12</v>
      </c>
      <c r="C2354" s="27" t="s">
        <v>42</v>
      </c>
      <c r="D2354" s="27" t="s">
        <v>26</v>
      </c>
      <c r="E2354" s="27" t="s">
        <v>54</v>
      </c>
      <c r="F2354" s="28" t="n">
        <v>911</v>
      </c>
      <c r="G2354" s="29" t="n">
        <v>2500</v>
      </c>
      <c r="H2354" s="29" t="n">
        <f aca="false">F2354*G2354</f>
        <v>2277500</v>
      </c>
    </row>
    <row r="2355" customFormat="false" ht="15" hidden="false" customHeight="false" outlineLevel="0" collapsed="false">
      <c r="A2355" s="27" t="n">
        <v>2025</v>
      </c>
      <c r="B2355" s="27" t="n">
        <v>12</v>
      </c>
      <c r="C2355" s="27" t="s">
        <v>42</v>
      </c>
      <c r="D2355" s="27" t="s">
        <v>26</v>
      </c>
      <c r="E2355" s="27" t="s">
        <v>56</v>
      </c>
      <c r="F2355" s="28" t="n">
        <v>1066</v>
      </c>
      <c r="G2355" s="29" t="n">
        <v>2470</v>
      </c>
      <c r="H2355" s="29" t="n">
        <f aca="false">F2355*G2355</f>
        <v>2633020</v>
      </c>
    </row>
    <row r="2356" customFormat="false" ht="15" hidden="false" customHeight="false" outlineLevel="0" collapsed="false">
      <c r="A2356" s="27" t="n">
        <v>2025</v>
      </c>
      <c r="B2356" s="27" t="n">
        <v>12</v>
      </c>
      <c r="C2356" s="27" t="s">
        <v>42</v>
      </c>
      <c r="D2356" s="27" t="s">
        <v>26</v>
      </c>
      <c r="E2356" s="27" t="s">
        <v>58</v>
      </c>
      <c r="F2356" s="28" t="n">
        <v>686</v>
      </c>
      <c r="G2356" s="29" t="n">
        <v>2500</v>
      </c>
      <c r="H2356" s="29" t="n">
        <f aca="false">F2356*G2356</f>
        <v>1715000</v>
      </c>
    </row>
    <row r="2357" customFormat="false" ht="15" hidden="false" customHeight="false" outlineLevel="0" collapsed="false">
      <c r="A2357" s="27" t="n">
        <v>2025</v>
      </c>
      <c r="B2357" s="27" t="n">
        <v>12</v>
      </c>
      <c r="C2357" s="27" t="s">
        <v>42</v>
      </c>
      <c r="D2357" s="27" t="s">
        <v>28</v>
      </c>
      <c r="E2357" s="27" t="s">
        <v>50</v>
      </c>
      <c r="F2357" s="28" t="n">
        <v>848</v>
      </c>
      <c r="G2357" s="29" t="n">
        <v>2310</v>
      </c>
      <c r="H2357" s="29" t="n">
        <f aca="false">F2357*G2357</f>
        <v>1958880</v>
      </c>
    </row>
    <row r="2358" customFormat="false" ht="15" hidden="false" customHeight="false" outlineLevel="0" collapsed="false">
      <c r="A2358" s="27" t="n">
        <v>2025</v>
      </c>
      <c r="B2358" s="27" t="n">
        <v>12</v>
      </c>
      <c r="C2358" s="27" t="s">
        <v>42</v>
      </c>
      <c r="D2358" s="27" t="s">
        <v>28</v>
      </c>
      <c r="E2358" s="27" t="s">
        <v>52</v>
      </c>
      <c r="F2358" s="28" t="n">
        <v>548</v>
      </c>
      <c r="G2358" s="29" t="n">
        <v>2310</v>
      </c>
      <c r="H2358" s="29" t="n">
        <f aca="false">F2358*G2358</f>
        <v>1265880</v>
      </c>
    </row>
    <row r="2359" customFormat="false" ht="15" hidden="false" customHeight="false" outlineLevel="0" collapsed="false">
      <c r="A2359" s="27" t="n">
        <v>2025</v>
      </c>
      <c r="B2359" s="27" t="n">
        <v>12</v>
      </c>
      <c r="C2359" s="27" t="s">
        <v>42</v>
      </c>
      <c r="D2359" s="27" t="s">
        <v>28</v>
      </c>
      <c r="E2359" s="27" t="s">
        <v>54</v>
      </c>
      <c r="F2359" s="28" t="n">
        <v>403</v>
      </c>
      <c r="G2359" s="29" t="n">
        <v>2360</v>
      </c>
      <c r="H2359" s="29" t="n">
        <f aca="false">F2359*G2359</f>
        <v>951080</v>
      </c>
    </row>
    <row r="2360" customFormat="false" ht="15" hidden="false" customHeight="false" outlineLevel="0" collapsed="false">
      <c r="A2360" s="27" t="n">
        <v>2025</v>
      </c>
      <c r="B2360" s="27" t="n">
        <v>12</v>
      </c>
      <c r="C2360" s="27" t="s">
        <v>42</v>
      </c>
      <c r="D2360" s="27" t="s">
        <v>28</v>
      </c>
      <c r="E2360" s="27" t="s">
        <v>56</v>
      </c>
      <c r="F2360" s="28" t="n">
        <v>514</v>
      </c>
      <c r="G2360" s="29" t="n">
        <v>2320</v>
      </c>
      <c r="H2360" s="29" t="n">
        <f aca="false">F2360*G2360</f>
        <v>1192480</v>
      </c>
    </row>
    <row r="2361" customFormat="false" ht="15" hidden="false" customHeight="false" outlineLevel="0" collapsed="false">
      <c r="A2361" s="27" t="n">
        <v>2025</v>
      </c>
      <c r="B2361" s="27" t="n">
        <v>12</v>
      </c>
      <c r="C2361" s="27" t="s">
        <v>42</v>
      </c>
      <c r="D2361" s="27" t="s">
        <v>28</v>
      </c>
      <c r="E2361" s="27" t="s">
        <v>58</v>
      </c>
      <c r="F2361" s="28" t="n">
        <v>342</v>
      </c>
      <c r="G2361" s="29" t="n">
        <v>2330</v>
      </c>
      <c r="H2361" s="29" t="n">
        <f aca="false">F2361*G2361</f>
        <v>796860</v>
      </c>
    </row>
    <row r="2362" customFormat="false" ht="15" hidden="false" customHeight="false" outlineLevel="0" collapsed="false">
      <c r="A2362" s="27" t="n">
        <v>2025</v>
      </c>
      <c r="B2362" s="27" t="n">
        <v>12</v>
      </c>
      <c r="C2362" s="27" t="s">
        <v>44</v>
      </c>
      <c r="D2362" s="27" t="s">
        <v>22</v>
      </c>
      <c r="E2362" s="27" t="s">
        <v>50</v>
      </c>
      <c r="F2362" s="28" t="n">
        <v>3476</v>
      </c>
      <c r="G2362" s="29" t="n">
        <v>4080</v>
      </c>
      <c r="H2362" s="29" t="n">
        <f aca="false">F2362*G2362</f>
        <v>14182080</v>
      </c>
    </row>
    <row r="2363" customFormat="false" ht="15" hidden="false" customHeight="false" outlineLevel="0" collapsed="false">
      <c r="A2363" s="27" t="n">
        <v>2025</v>
      </c>
      <c r="B2363" s="27" t="n">
        <v>12</v>
      </c>
      <c r="C2363" s="27" t="s">
        <v>44</v>
      </c>
      <c r="D2363" s="27" t="s">
        <v>22</v>
      </c>
      <c r="E2363" s="27" t="s">
        <v>52</v>
      </c>
      <c r="F2363" s="28" t="n">
        <v>2512</v>
      </c>
      <c r="G2363" s="29" t="n">
        <v>4100</v>
      </c>
      <c r="H2363" s="29" t="n">
        <f aca="false">F2363*G2363</f>
        <v>10299200</v>
      </c>
    </row>
    <row r="2364" customFormat="false" ht="15" hidden="false" customHeight="false" outlineLevel="0" collapsed="false">
      <c r="A2364" s="27" t="n">
        <v>2025</v>
      </c>
      <c r="B2364" s="27" t="n">
        <v>12</v>
      </c>
      <c r="C2364" s="27" t="s">
        <v>44</v>
      </c>
      <c r="D2364" s="27" t="s">
        <v>22</v>
      </c>
      <c r="E2364" s="27" t="s">
        <v>54</v>
      </c>
      <c r="F2364" s="28" t="n">
        <v>2039</v>
      </c>
      <c r="G2364" s="29" t="n">
        <v>4160</v>
      </c>
      <c r="H2364" s="29" t="n">
        <f aca="false">F2364*G2364</f>
        <v>8482240</v>
      </c>
    </row>
    <row r="2365" customFormat="false" ht="15" hidden="false" customHeight="false" outlineLevel="0" collapsed="false">
      <c r="A2365" s="27" t="n">
        <v>2025</v>
      </c>
      <c r="B2365" s="27" t="n">
        <v>12</v>
      </c>
      <c r="C2365" s="27" t="s">
        <v>44</v>
      </c>
      <c r="D2365" s="27" t="s">
        <v>22</v>
      </c>
      <c r="E2365" s="27" t="s">
        <v>56</v>
      </c>
      <c r="F2365" s="28" t="n">
        <v>2354</v>
      </c>
      <c r="G2365" s="29" t="n">
        <v>4070</v>
      </c>
      <c r="H2365" s="29" t="n">
        <f aca="false">F2365*G2365</f>
        <v>9580780</v>
      </c>
    </row>
    <row r="2366" customFormat="false" ht="15" hidden="false" customHeight="false" outlineLevel="0" collapsed="false">
      <c r="A2366" s="27" t="n">
        <v>2025</v>
      </c>
      <c r="B2366" s="27" t="n">
        <v>12</v>
      </c>
      <c r="C2366" s="27" t="s">
        <v>44</v>
      </c>
      <c r="D2366" s="27" t="s">
        <v>22</v>
      </c>
      <c r="E2366" s="27" t="s">
        <v>58</v>
      </c>
      <c r="F2366" s="28" t="n">
        <v>1663</v>
      </c>
      <c r="G2366" s="29" t="n">
        <v>4100</v>
      </c>
      <c r="H2366" s="29" t="n">
        <f aca="false">F2366*G2366</f>
        <v>6818300</v>
      </c>
    </row>
    <row r="2367" customFormat="false" ht="15" hidden="false" customHeight="false" outlineLevel="0" collapsed="false">
      <c r="A2367" s="27" t="n">
        <v>2025</v>
      </c>
      <c r="B2367" s="27" t="n">
        <v>12</v>
      </c>
      <c r="C2367" s="27" t="s">
        <v>44</v>
      </c>
      <c r="D2367" s="27" t="s">
        <v>24</v>
      </c>
      <c r="E2367" s="27" t="s">
        <v>50</v>
      </c>
      <c r="F2367" s="28" t="n">
        <v>2314</v>
      </c>
      <c r="G2367" s="29" t="n">
        <v>3820</v>
      </c>
      <c r="H2367" s="29" t="n">
        <f aca="false">F2367*G2367</f>
        <v>8839480</v>
      </c>
    </row>
    <row r="2368" customFormat="false" ht="15" hidden="false" customHeight="false" outlineLevel="0" collapsed="false">
      <c r="A2368" s="27" t="n">
        <v>2025</v>
      </c>
      <c r="B2368" s="27" t="n">
        <v>12</v>
      </c>
      <c r="C2368" s="27" t="s">
        <v>44</v>
      </c>
      <c r="D2368" s="27" t="s">
        <v>24</v>
      </c>
      <c r="E2368" s="27" t="s">
        <v>52</v>
      </c>
      <c r="F2368" s="28" t="n">
        <v>1621</v>
      </c>
      <c r="G2368" s="29" t="n">
        <v>3740</v>
      </c>
      <c r="H2368" s="29" t="n">
        <f aca="false">F2368*G2368</f>
        <v>6062540</v>
      </c>
    </row>
    <row r="2369" customFormat="false" ht="15" hidden="false" customHeight="false" outlineLevel="0" collapsed="false">
      <c r="A2369" s="27" t="n">
        <v>2025</v>
      </c>
      <c r="B2369" s="27" t="n">
        <v>12</v>
      </c>
      <c r="C2369" s="27" t="s">
        <v>44</v>
      </c>
      <c r="D2369" s="27" t="s">
        <v>24</v>
      </c>
      <c r="E2369" s="27" t="s">
        <v>54</v>
      </c>
      <c r="F2369" s="28" t="n">
        <v>1144</v>
      </c>
      <c r="G2369" s="29" t="n">
        <v>3830</v>
      </c>
      <c r="H2369" s="29" t="n">
        <f aca="false">F2369*G2369</f>
        <v>4381520</v>
      </c>
    </row>
    <row r="2370" customFormat="false" ht="15" hidden="false" customHeight="false" outlineLevel="0" collapsed="false">
      <c r="A2370" s="27" t="n">
        <v>2025</v>
      </c>
      <c r="B2370" s="27" t="n">
        <v>12</v>
      </c>
      <c r="C2370" s="27" t="s">
        <v>44</v>
      </c>
      <c r="D2370" s="27" t="s">
        <v>24</v>
      </c>
      <c r="E2370" s="27" t="s">
        <v>56</v>
      </c>
      <c r="F2370" s="28" t="n">
        <v>1331</v>
      </c>
      <c r="G2370" s="29" t="n">
        <v>3860</v>
      </c>
      <c r="H2370" s="29" t="n">
        <f aca="false">F2370*G2370</f>
        <v>5137660</v>
      </c>
    </row>
    <row r="2371" customFormat="false" ht="15" hidden="false" customHeight="false" outlineLevel="0" collapsed="false">
      <c r="A2371" s="27" t="n">
        <v>2025</v>
      </c>
      <c r="B2371" s="27" t="n">
        <v>12</v>
      </c>
      <c r="C2371" s="27" t="s">
        <v>44</v>
      </c>
      <c r="D2371" s="27" t="s">
        <v>24</v>
      </c>
      <c r="E2371" s="27" t="s">
        <v>58</v>
      </c>
      <c r="F2371" s="28" t="n">
        <v>986</v>
      </c>
      <c r="G2371" s="29" t="n">
        <v>3820</v>
      </c>
      <c r="H2371" s="29" t="n">
        <f aca="false">F2371*G2371</f>
        <v>3766520</v>
      </c>
    </row>
    <row r="2372" customFormat="false" ht="15" hidden="false" customHeight="false" outlineLevel="0" collapsed="false">
      <c r="A2372" s="27" t="n">
        <v>2025</v>
      </c>
      <c r="B2372" s="27" t="n">
        <v>12</v>
      </c>
      <c r="C2372" s="27" t="s">
        <v>44</v>
      </c>
      <c r="D2372" s="27" t="s">
        <v>26</v>
      </c>
      <c r="E2372" s="27" t="s">
        <v>50</v>
      </c>
      <c r="F2372" s="28" t="n">
        <v>1172</v>
      </c>
      <c r="G2372" s="29" t="n">
        <v>4600</v>
      </c>
      <c r="H2372" s="29" t="n">
        <f aca="false">F2372*G2372</f>
        <v>5391200</v>
      </c>
    </row>
    <row r="2373" customFormat="false" ht="15" hidden="false" customHeight="false" outlineLevel="0" collapsed="false">
      <c r="A2373" s="27" t="n">
        <v>2025</v>
      </c>
      <c r="B2373" s="27" t="n">
        <v>12</v>
      </c>
      <c r="C2373" s="27" t="s">
        <v>44</v>
      </c>
      <c r="D2373" s="27" t="s">
        <v>26</v>
      </c>
      <c r="E2373" s="27" t="s">
        <v>52</v>
      </c>
      <c r="F2373" s="28" t="n">
        <v>739</v>
      </c>
      <c r="G2373" s="29" t="n">
        <v>4600</v>
      </c>
      <c r="H2373" s="29" t="n">
        <f aca="false">F2373*G2373</f>
        <v>3399400</v>
      </c>
    </row>
    <row r="2374" customFormat="false" ht="15" hidden="false" customHeight="false" outlineLevel="0" collapsed="false">
      <c r="A2374" s="27" t="n">
        <v>2025</v>
      </c>
      <c r="B2374" s="27" t="n">
        <v>12</v>
      </c>
      <c r="C2374" s="27" t="s">
        <v>44</v>
      </c>
      <c r="D2374" s="27" t="s">
        <v>26</v>
      </c>
      <c r="E2374" s="27" t="s">
        <v>54</v>
      </c>
      <c r="F2374" s="28" t="n">
        <v>588</v>
      </c>
      <c r="G2374" s="29" t="n">
        <v>4620</v>
      </c>
      <c r="H2374" s="29" t="n">
        <f aca="false">F2374*G2374</f>
        <v>2716560</v>
      </c>
    </row>
    <row r="2375" customFormat="false" ht="15" hidden="false" customHeight="false" outlineLevel="0" collapsed="false">
      <c r="A2375" s="27" t="n">
        <v>2025</v>
      </c>
      <c r="B2375" s="27" t="n">
        <v>12</v>
      </c>
      <c r="C2375" s="27" t="s">
        <v>44</v>
      </c>
      <c r="D2375" s="27" t="s">
        <v>26</v>
      </c>
      <c r="E2375" s="27" t="s">
        <v>56</v>
      </c>
      <c r="F2375" s="28" t="n">
        <v>732</v>
      </c>
      <c r="G2375" s="29" t="n">
        <v>4550</v>
      </c>
      <c r="H2375" s="29" t="n">
        <f aca="false">F2375*G2375</f>
        <v>3330600</v>
      </c>
    </row>
    <row r="2376" customFormat="false" ht="15" hidden="false" customHeight="false" outlineLevel="0" collapsed="false">
      <c r="A2376" s="27" t="n">
        <v>2025</v>
      </c>
      <c r="B2376" s="27" t="n">
        <v>12</v>
      </c>
      <c r="C2376" s="27" t="s">
        <v>44</v>
      </c>
      <c r="D2376" s="27" t="s">
        <v>26</v>
      </c>
      <c r="E2376" s="27" t="s">
        <v>58</v>
      </c>
      <c r="F2376" s="28" t="n">
        <v>457</v>
      </c>
      <c r="G2376" s="29" t="n">
        <v>4530</v>
      </c>
      <c r="H2376" s="29" t="n">
        <f aca="false">F2376*G2376</f>
        <v>2070210</v>
      </c>
    </row>
    <row r="2377" customFormat="false" ht="15" hidden="false" customHeight="false" outlineLevel="0" collapsed="false">
      <c r="A2377" s="27" t="n">
        <v>2025</v>
      </c>
      <c r="B2377" s="27" t="n">
        <v>12</v>
      </c>
      <c r="C2377" s="27" t="s">
        <v>44</v>
      </c>
      <c r="D2377" s="27" t="s">
        <v>28</v>
      </c>
      <c r="E2377" s="27" t="s">
        <v>50</v>
      </c>
      <c r="F2377" s="28" t="n">
        <v>585</v>
      </c>
      <c r="G2377" s="29" t="n">
        <v>4330</v>
      </c>
      <c r="H2377" s="29" t="n">
        <f aca="false">F2377*G2377</f>
        <v>2533050</v>
      </c>
    </row>
    <row r="2378" customFormat="false" ht="15" hidden="false" customHeight="false" outlineLevel="0" collapsed="false">
      <c r="A2378" s="27" t="n">
        <v>2025</v>
      </c>
      <c r="B2378" s="27" t="n">
        <v>12</v>
      </c>
      <c r="C2378" s="27" t="s">
        <v>44</v>
      </c>
      <c r="D2378" s="27" t="s">
        <v>28</v>
      </c>
      <c r="E2378" s="27" t="s">
        <v>52</v>
      </c>
      <c r="F2378" s="28" t="n">
        <v>359</v>
      </c>
      <c r="G2378" s="29" t="n">
        <v>4260</v>
      </c>
      <c r="H2378" s="29" t="n">
        <f aca="false">F2378*G2378</f>
        <v>1529340</v>
      </c>
    </row>
    <row r="2379" customFormat="false" ht="15" hidden="false" customHeight="false" outlineLevel="0" collapsed="false">
      <c r="A2379" s="27" t="n">
        <v>2025</v>
      </c>
      <c r="B2379" s="27" t="n">
        <v>12</v>
      </c>
      <c r="C2379" s="27" t="s">
        <v>44</v>
      </c>
      <c r="D2379" s="27" t="s">
        <v>28</v>
      </c>
      <c r="E2379" s="27" t="s">
        <v>54</v>
      </c>
      <c r="F2379" s="28" t="n">
        <v>305</v>
      </c>
      <c r="G2379" s="29" t="n">
        <v>4290</v>
      </c>
      <c r="H2379" s="29" t="n">
        <f aca="false">F2379*G2379</f>
        <v>1308450</v>
      </c>
    </row>
    <row r="2380" customFormat="false" ht="15" hidden="false" customHeight="false" outlineLevel="0" collapsed="false">
      <c r="A2380" s="27" t="n">
        <v>2025</v>
      </c>
      <c r="B2380" s="27" t="n">
        <v>12</v>
      </c>
      <c r="C2380" s="27" t="s">
        <v>44</v>
      </c>
      <c r="D2380" s="27" t="s">
        <v>28</v>
      </c>
      <c r="E2380" s="27" t="s">
        <v>56</v>
      </c>
      <c r="F2380" s="28" t="n">
        <v>336</v>
      </c>
      <c r="G2380" s="29" t="n">
        <v>4360</v>
      </c>
      <c r="H2380" s="29" t="n">
        <f aca="false">F2380*G2380</f>
        <v>1464960</v>
      </c>
    </row>
    <row r="2381" customFormat="false" ht="15" hidden="false" customHeight="false" outlineLevel="0" collapsed="false">
      <c r="A2381" s="27" t="n">
        <v>2025</v>
      </c>
      <c r="B2381" s="27" t="n">
        <v>12</v>
      </c>
      <c r="C2381" s="27" t="s">
        <v>44</v>
      </c>
      <c r="D2381" s="27" t="s">
        <v>28</v>
      </c>
      <c r="E2381" s="27" t="s">
        <v>58</v>
      </c>
      <c r="F2381" s="28" t="n">
        <v>217</v>
      </c>
      <c r="G2381" s="29" t="n">
        <v>4300</v>
      </c>
      <c r="H2381" s="29" t="n">
        <f aca="false">F2381*G2381</f>
        <v>933100</v>
      </c>
    </row>
    <row r="2382" customFormat="false" ht="15" hidden="false" customHeight="false" outlineLevel="0" collapsed="false">
      <c r="A2382" s="27" t="n">
        <v>2025</v>
      </c>
      <c r="B2382" s="27" t="n">
        <v>12</v>
      </c>
      <c r="C2382" s="27" t="s">
        <v>45</v>
      </c>
      <c r="D2382" s="27" t="s">
        <v>22</v>
      </c>
      <c r="E2382" s="27" t="s">
        <v>50</v>
      </c>
      <c r="F2382" s="28" t="n">
        <v>4169</v>
      </c>
      <c r="G2382" s="29" t="n">
        <v>2600</v>
      </c>
      <c r="H2382" s="29" t="n">
        <f aca="false">F2382*G2382</f>
        <v>10839400</v>
      </c>
    </row>
    <row r="2383" customFormat="false" ht="15" hidden="false" customHeight="false" outlineLevel="0" collapsed="false">
      <c r="A2383" s="27" t="n">
        <v>2025</v>
      </c>
      <c r="B2383" s="27" t="n">
        <v>12</v>
      </c>
      <c r="C2383" s="27" t="s">
        <v>45</v>
      </c>
      <c r="D2383" s="27" t="s">
        <v>22</v>
      </c>
      <c r="E2383" s="27" t="s">
        <v>52</v>
      </c>
      <c r="F2383" s="28" t="n">
        <v>2621</v>
      </c>
      <c r="G2383" s="29" t="n">
        <v>2570</v>
      </c>
      <c r="H2383" s="29" t="n">
        <f aca="false">F2383*G2383</f>
        <v>6735970</v>
      </c>
    </row>
    <row r="2384" customFormat="false" ht="15" hidden="false" customHeight="false" outlineLevel="0" collapsed="false">
      <c r="A2384" s="27" t="n">
        <v>2025</v>
      </c>
      <c r="B2384" s="27" t="n">
        <v>12</v>
      </c>
      <c r="C2384" s="27" t="s">
        <v>45</v>
      </c>
      <c r="D2384" s="27" t="s">
        <v>22</v>
      </c>
      <c r="E2384" s="27" t="s">
        <v>54</v>
      </c>
      <c r="F2384" s="28" t="n">
        <v>2191</v>
      </c>
      <c r="G2384" s="29" t="n">
        <v>2540</v>
      </c>
      <c r="H2384" s="29" t="n">
        <f aca="false">F2384*G2384</f>
        <v>5565140</v>
      </c>
    </row>
    <row r="2385" customFormat="false" ht="15" hidden="false" customHeight="false" outlineLevel="0" collapsed="false">
      <c r="A2385" s="27" t="n">
        <v>2025</v>
      </c>
      <c r="B2385" s="27" t="n">
        <v>12</v>
      </c>
      <c r="C2385" s="27" t="s">
        <v>45</v>
      </c>
      <c r="D2385" s="27" t="s">
        <v>22</v>
      </c>
      <c r="E2385" s="27" t="s">
        <v>56</v>
      </c>
      <c r="F2385" s="28" t="n">
        <v>2332</v>
      </c>
      <c r="G2385" s="29" t="n">
        <v>2560</v>
      </c>
      <c r="H2385" s="29" t="n">
        <f aca="false">F2385*G2385</f>
        <v>5969920</v>
      </c>
    </row>
    <row r="2386" customFormat="false" ht="15" hidden="false" customHeight="false" outlineLevel="0" collapsed="false">
      <c r="A2386" s="27" t="n">
        <v>2025</v>
      </c>
      <c r="B2386" s="27" t="n">
        <v>12</v>
      </c>
      <c r="C2386" s="27" t="s">
        <v>45</v>
      </c>
      <c r="D2386" s="27" t="s">
        <v>22</v>
      </c>
      <c r="E2386" s="27" t="s">
        <v>58</v>
      </c>
      <c r="F2386" s="28" t="n">
        <v>1553</v>
      </c>
      <c r="G2386" s="29" t="n">
        <v>2570</v>
      </c>
      <c r="H2386" s="29" t="n">
        <f aca="false">F2386*G2386</f>
        <v>3991210</v>
      </c>
    </row>
    <row r="2387" customFormat="false" ht="15" hidden="false" customHeight="false" outlineLevel="0" collapsed="false">
      <c r="A2387" s="27" t="n">
        <v>2025</v>
      </c>
      <c r="B2387" s="27" t="n">
        <v>12</v>
      </c>
      <c r="C2387" s="27" t="s">
        <v>45</v>
      </c>
      <c r="D2387" s="27" t="s">
        <v>24</v>
      </c>
      <c r="E2387" s="27" t="s">
        <v>50</v>
      </c>
      <c r="F2387" s="28" t="n">
        <v>2416</v>
      </c>
      <c r="G2387" s="29" t="n">
        <v>2290</v>
      </c>
      <c r="H2387" s="29" t="n">
        <f aca="false">F2387*G2387</f>
        <v>5532640</v>
      </c>
    </row>
    <row r="2388" customFormat="false" ht="15" hidden="false" customHeight="false" outlineLevel="0" collapsed="false">
      <c r="A2388" s="27" t="n">
        <v>2025</v>
      </c>
      <c r="B2388" s="27" t="n">
        <v>12</v>
      </c>
      <c r="C2388" s="27" t="s">
        <v>45</v>
      </c>
      <c r="D2388" s="27" t="s">
        <v>24</v>
      </c>
      <c r="E2388" s="27" t="s">
        <v>52</v>
      </c>
      <c r="F2388" s="28" t="n">
        <v>1470</v>
      </c>
      <c r="G2388" s="29" t="n">
        <v>2370</v>
      </c>
      <c r="H2388" s="29" t="n">
        <f aca="false">F2388*G2388</f>
        <v>3483900</v>
      </c>
    </row>
    <row r="2389" customFormat="false" ht="15" hidden="false" customHeight="false" outlineLevel="0" collapsed="false">
      <c r="A2389" s="27" t="n">
        <v>2025</v>
      </c>
      <c r="B2389" s="27" t="n">
        <v>12</v>
      </c>
      <c r="C2389" s="27" t="s">
        <v>45</v>
      </c>
      <c r="D2389" s="27" t="s">
        <v>24</v>
      </c>
      <c r="E2389" s="27" t="s">
        <v>54</v>
      </c>
      <c r="F2389" s="28" t="n">
        <v>1182</v>
      </c>
      <c r="G2389" s="29" t="n">
        <v>2370</v>
      </c>
      <c r="H2389" s="29" t="n">
        <f aca="false">F2389*G2389</f>
        <v>2801340</v>
      </c>
    </row>
    <row r="2390" customFormat="false" ht="15" hidden="false" customHeight="false" outlineLevel="0" collapsed="false">
      <c r="A2390" s="27" t="n">
        <v>2025</v>
      </c>
      <c r="B2390" s="27" t="n">
        <v>12</v>
      </c>
      <c r="C2390" s="27" t="s">
        <v>45</v>
      </c>
      <c r="D2390" s="27" t="s">
        <v>24</v>
      </c>
      <c r="E2390" s="27" t="s">
        <v>56</v>
      </c>
      <c r="F2390" s="28" t="n">
        <v>1360</v>
      </c>
      <c r="G2390" s="29" t="n">
        <v>2320</v>
      </c>
      <c r="H2390" s="29" t="n">
        <f aca="false">F2390*G2390</f>
        <v>3155200</v>
      </c>
    </row>
    <row r="2391" customFormat="false" ht="15" hidden="false" customHeight="false" outlineLevel="0" collapsed="false">
      <c r="A2391" s="27" t="n">
        <v>2025</v>
      </c>
      <c r="B2391" s="27" t="n">
        <v>12</v>
      </c>
      <c r="C2391" s="27" t="s">
        <v>45</v>
      </c>
      <c r="D2391" s="27" t="s">
        <v>24</v>
      </c>
      <c r="E2391" s="27" t="s">
        <v>58</v>
      </c>
      <c r="F2391" s="28" t="n">
        <v>968</v>
      </c>
      <c r="G2391" s="29" t="n">
        <v>2360</v>
      </c>
      <c r="H2391" s="29" t="n">
        <f aca="false">F2391*G2391</f>
        <v>2284480</v>
      </c>
    </row>
    <row r="2392" customFormat="false" ht="15" hidden="false" customHeight="false" outlineLevel="0" collapsed="false">
      <c r="A2392" s="27" t="n">
        <v>2025</v>
      </c>
      <c r="B2392" s="27" t="n">
        <v>12</v>
      </c>
      <c r="C2392" s="27" t="s">
        <v>45</v>
      </c>
      <c r="D2392" s="27" t="s">
        <v>26</v>
      </c>
      <c r="E2392" s="27" t="s">
        <v>50</v>
      </c>
      <c r="F2392" s="28" t="n">
        <v>1197</v>
      </c>
      <c r="G2392" s="29" t="n">
        <v>2870</v>
      </c>
      <c r="H2392" s="29" t="n">
        <f aca="false">F2392*G2392</f>
        <v>3435390</v>
      </c>
    </row>
    <row r="2393" customFormat="false" ht="15" hidden="false" customHeight="false" outlineLevel="0" collapsed="false">
      <c r="A2393" s="27" t="n">
        <v>2025</v>
      </c>
      <c r="B2393" s="27" t="n">
        <v>12</v>
      </c>
      <c r="C2393" s="27" t="s">
        <v>45</v>
      </c>
      <c r="D2393" s="27" t="s">
        <v>26</v>
      </c>
      <c r="E2393" s="27" t="s">
        <v>52</v>
      </c>
      <c r="F2393" s="28" t="n">
        <v>729</v>
      </c>
      <c r="G2393" s="29" t="n">
        <v>2840</v>
      </c>
      <c r="H2393" s="29" t="n">
        <f aca="false">F2393*G2393</f>
        <v>2070360</v>
      </c>
    </row>
    <row r="2394" customFormat="false" ht="15" hidden="false" customHeight="false" outlineLevel="0" collapsed="false">
      <c r="A2394" s="27" t="n">
        <v>2025</v>
      </c>
      <c r="B2394" s="27" t="n">
        <v>12</v>
      </c>
      <c r="C2394" s="27" t="s">
        <v>45</v>
      </c>
      <c r="D2394" s="27" t="s">
        <v>26</v>
      </c>
      <c r="E2394" s="27" t="s">
        <v>54</v>
      </c>
      <c r="F2394" s="28" t="n">
        <v>611</v>
      </c>
      <c r="G2394" s="29" t="n">
        <v>2790</v>
      </c>
      <c r="H2394" s="29" t="n">
        <f aca="false">F2394*G2394</f>
        <v>1704690</v>
      </c>
    </row>
    <row r="2395" customFormat="false" ht="15" hidden="false" customHeight="false" outlineLevel="0" collapsed="false">
      <c r="A2395" s="27" t="n">
        <v>2025</v>
      </c>
      <c r="B2395" s="27" t="n">
        <v>12</v>
      </c>
      <c r="C2395" s="27" t="s">
        <v>45</v>
      </c>
      <c r="D2395" s="27" t="s">
        <v>26</v>
      </c>
      <c r="E2395" s="27" t="s">
        <v>56</v>
      </c>
      <c r="F2395" s="28" t="n">
        <v>676</v>
      </c>
      <c r="G2395" s="29" t="n">
        <v>2840</v>
      </c>
      <c r="H2395" s="29" t="n">
        <f aca="false">F2395*G2395</f>
        <v>1919840</v>
      </c>
    </row>
    <row r="2396" customFormat="false" ht="15" hidden="false" customHeight="false" outlineLevel="0" collapsed="false">
      <c r="A2396" s="27" t="n">
        <v>2025</v>
      </c>
      <c r="B2396" s="27" t="n">
        <v>12</v>
      </c>
      <c r="C2396" s="27" t="s">
        <v>45</v>
      </c>
      <c r="D2396" s="27" t="s">
        <v>26</v>
      </c>
      <c r="E2396" s="27" t="s">
        <v>58</v>
      </c>
      <c r="F2396" s="28" t="n">
        <v>544</v>
      </c>
      <c r="G2396" s="29" t="n">
        <v>2850</v>
      </c>
      <c r="H2396" s="29" t="n">
        <f aca="false">F2396*G2396</f>
        <v>1550400</v>
      </c>
    </row>
    <row r="2397" customFormat="false" ht="15" hidden="false" customHeight="false" outlineLevel="0" collapsed="false">
      <c r="A2397" s="27" t="n">
        <v>2025</v>
      </c>
      <c r="B2397" s="27" t="n">
        <v>12</v>
      </c>
      <c r="C2397" s="27" t="s">
        <v>45</v>
      </c>
      <c r="D2397" s="27" t="s">
        <v>28</v>
      </c>
      <c r="E2397" s="27" t="s">
        <v>50</v>
      </c>
      <c r="F2397" s="28" t="n">
        <v>525</v>
      </c>
      <c r="G2397" s="29" t="n">
        <v>2580</v>
      </c>
      <c r="H2397" s="29" t="n">
        <f aca="false">F2397*G2397</f>
        <v>1354500</v>
      </c>
    </row>
    <row r="2398" customFormat="false" ht="15" hidden="false" customHeight="false" outlineLevel="0" collapsed="false">
      <c r="A2398" s="27" t="n">
        <v>2025</v>
      </c>
      <c r="B2398" s="27" t="n">
        <v>12</v>
      </c>
      <c r="C2398" s="27" t="s">
        <v>45</v>
      </c>
      <c r="D2398" s="27" t="s">
        <v>28</v>
      </c>
      <c r="E2398" s="27" t="s">
        <v>52</v>
      </c>
      <c r="F2398" s="28" t="n">
        <v>373</v>
      </c>
      <c r="G2398" s="29" t="n">
        <v>2660</v>
      </c>
      <c r="H2398" s="29" t="n">
        <f aca="false">F2398*G2398</f>
        <v>992180</v>
      </c>
    </row>
    <row r="2399" customFormat="false" ht="15" hidden="false" customHeight="false" outlineLevel="0" collapsed="false">
      <c r="A2399" s="27" t="n">
        <v>2025</v>
      </c>
      <c r="B2399" s="27" t="n">
        <v>12</v>
      </c>
      <c r="C2399" s="27" t="s">
        <v>45</v>
      </c>
      <c r="D2399" s="27" t="s">
        <v>28</v>
      </c>
      <c r="E2399" s="27" t="s">
        <v>54</v>
      </c>
      <c r="F2399" s="28" t="n">
        <v>304</v>
      </c>
      <c r="G2399" s="29" t="n">
        <v>2640</v>
      </c>
      <c r="H2399" s="29" t="n">
        <f aca="false">F2399*G2399</f>
        <v>802560</v>
      </c>
    </row>
    <row r="2400" customFormat="false" ht="15" hidden="false" customHeight="false" outlineLevel="0" collapsed="false">
      <c r="A2400" s="27" t="n">
        <v>2025</v>
      </c>
      <c r="B2400" s="27" t="n">
        <v>12</v>
      </c>
      <c r="C2400" s="27" t="s">
        <v>45</v>
      </c>
      <c r="D2400" s="27" t="s">
        <v>28</v>
      </c>
      <c r="E2400" s="27" t="s">
        <v>56</v>
      </c>
      <c r="F2400" s="28" t="n">
        <v>347</v>
      </c>
      <c r="G2400" s="29" t="n">
        <v>2680</v>
      </c>
      <c r="H2400" s="29" t="n">
        <f aca="false">F2400*G2400</f>
        <v>929960</v>
      </c>
    </row>
    <row r="2401" customFormat="false" ht="15" hidden="false" customHeight="false" outlineLevel="0" collapsed="false">
      <c r="A2401" s="27" t="n">
        <v>2025</v>
      </c>
      <c r="B2401" s="27" t="n">
        <v>12</v>
      </c>
      <c r="C2401" s="27" t="s">
        <v>45</v>
      </c>
      <c r="D2401" s="27" t="s">
        <v>28</v>
      </c>
      <c r="E2401" s="27" t="s">
        <v>58</v>
      </c>
      <c r="F2401" s="28" t="n">
        <v>228</v>
      </c>
      <c r="G2401" s="29" t="n">
        <v>2650</v>
      </c>
      <c r="H2401" s="29" t="n">
        <f aca="false">F2401*G2401</f>
        <v>604200</v>
      </c>
    </row>
  </sheetData>
  <autoFilter ref="A1:H2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30" t="s">
        <v>64</v>
      </c>
    </row>
    <row r="2" customFormat="false" ht="23.85" hidden="false" customHeight="false" outlineLevel="0" collapsed="false">
      <c r="A2" s="31" t="s">
        <v>65</v>
      </c>
    </row>
    <row r="3" customFormat="false" ht="15" hidden="false" customHeight="false" outlineLevel="0" collapsed="false">
      <c r="A3" s="31"/>
    </row>
    <row r="4" customFormat="false" ht="15" hidden="false" customHeight="false" outlineLevel="0" collapsed="false">
      <c r="A4" s="30" t="s">
        <v>66</v>
      </c>
    </row>
    <row r="5" customFormat="false" ht="23.85" hidden="false" customHeight="false" outlineLevel="0" collapsed="false">
      <c r="A5" s="31" t="s">
        <v>67</v>
      </c>
    </row>
    <row r="6" customFormat="false" ht="15" hidden="false" customHeight="false" outlineLevel="0" collapsed="false">
      <c r="A6" s="31" t="s">
        <v>68</v>
      </c>
    </row>
    <row r="7" customFormat="false" ht="15" hidden="false" customHeight="false" outlineLevel="0" collapsed="false">
      <c r="A7" s="31" t="s">
        <v>69</v>
      </c>
    </row>
    <row r="8" customFormat="false" ht="15" hidden="false" customHeight="false" outlineLevel="0" collapsed="false">
      <c r="A8" s="31"/>
    </row>
    <row r="9" customFormat="false" ht="15" hidden="false" customHeight="false" outlineLevel="0" collapsed="false">
      <c r="A9" s="30" t="s">
        <v>70</v>
      </c>
    </row>
    <row r="10" customFormat="false" ht="15" hidden="false" customHeight="false" outlineLevel="0" collapsed="false">
      <c r="A10" s="31" t="s">
        <v>71</v>
      </c>
    </row>
    <row r="11" customFormat="false" ht="15" hidden="false" customHeight="false" outlineLevel="0" collapsed="false">
      <c r="A11" s="31" t="s">
        <v>72</v>
      </c>
    </row>
    <row r="12" customFormat="false" ht="15" hidden="false" customHeight="false" outlineLevel="0" collapsed="false">
      <c r="A12" s="31"/>
    </row>
    <row r="13" customFormat="false" ht="15" hidden="false" customHeight="false" outlineLevel="0" collapsed="false">
      <c r="A13" s="30" t="s">
        <v>73</v>
      </c>
    </row>
    <row r="14" customFormat="false" ht="15" hidden="false" customHeight="false" outlineLevel="0" collapsed="false">
      <c r="A14" s="3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2026-09-29T20:58:45Z</dcterms:created>
  <dc:creator>openpyxl</dc:creator>
  <dc:description/>
  <dc:language>en-US</dc:language>
  <cp:lastModifiedBy/>
  <dcterms:modified xsi:type="dcterms:W3CDTF">2026-09-29T15:58:48Z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